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d50206bd3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e11a9ec250e84198"/>
    <x:sheet xmlns:r="http://schemas.openxmlformats.org/officeDocument/2006/relationships" name="Population" sheetId="2" r:id="R7ab258619c834531"/>
    <x:sheet xmlns:r="http://schemas.openxmlformats.org/officeDocument/2006/relationships" name="Behaviour" sheetId="3" r:id="R6a142ee6f1b94e44"/>
    <x:sheet xmlns:r="http://schemas.openxmlformats.org/officeDocument/2006/relationships" name="Comparators" sheetId="4" r:id="Ra08ea429f8324984"/>
    <x:sheet xmlns:r="http://schemas.openxmlformats.org/officeDocument/2006/relationships" name="NewIntervention" sheetId="5" r:id="R646f24abc45b4aec"/>
    <x:sheet xmlns:r="http://schemas.openxmlformats.org/officeDocument/2006/relationships" name="Uptake" sheetId="6" r:id="Rb8dbfde4cfbf4d97"/>
    <x:sheet xmlns:r="http://schemas.openxmlformats.org/officeDocument/2006/relationships" name="Outcomes" sheetId="7" r:id="Rff3f7a8e82cd4557"/>
    <x:sheet xmlns:r="http://schemas.openxmlformats.org/officeDocument/2006/relationships" name="Benchmark" sheetId="8" r:id="R6e8aecdc16144601"/>
    <x:sheet xmlns:r="http://schemas.openxmlformats.org/officeDocument/2006/relationships" name="Evidence" sheetId="9" r:id="Re13bfad7c3f6439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"/>
    <x:numFmt numFmtId="201" formatCode="0.00%"/>
  </x:numFmts>
  <x:fonts count="5">
    <x:font>
      <x:sz val="12"/>
      <x:color theme="1"/>
      <x:name val="Calibri"/>
    </x:font>
    <x:font>
      <x:b/>
      <x:sz val="12"/>
      <x:color rgb="FFFFFFFF"/>
      <x:name val="Calibri"/>
    </x:font>
    <x:font>
      <x:b/>
      <x:sz val="14"/>
      <x:color rgb="FFFFFFFF"/>
      <x:name val="Calibri"/>
    </x:font>
    <x:font>
      <x:sz val="12"/>
      <x:color rgb="FF334155"/>
      <x:name val="Calibri"/>
    </x:font>
    <x:font>
      <x:b/>
      <x:sz val="12"/>
      <x:color rgb="FF92400E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4F46E5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aef465f85429c" /><Relationship Type="http://schemas.openxmlformats.org/officeDocument/2006/relationships/theme" Target="/xl/theme/theme1.xml" Id="R9ecb3dc3ecad4602" /><Relationship Type="http://schemas.openxmlformats.org/officeDocument/2006/relationships/sheetMetadata" Target="/xl/metadata1.xml" Id="Rfc38614572ad4a43" /><Relationship Type="http://schemas.openxmlformats.org/officeDocument/2006/relationships/sharedStrings" Target="/xl/sharedStrings.xml" Id="Rd3a5fb67b490436d" /><Relationship Type="http://schemas.openxmlformats.org/officeDocument/2006/relationships/worksheet" Target="/xl/worksheets/sheet1.xml" Id="Re11a9ec250e84198" /><Relationship Type="http://schemas.openxmlformats.org/officeDocument/2006/relationships/worksheet" Target="/xl/worksheets/sheet2.xml" Id="R7ab258619c834531" /><Relationship Type="http://schemas.openxmlformats.org/officeDocument/2006/relationships/worksheet" Target="/xl/worksheets/sheet3.xml" Id="R6a142ee6f1b94e44" /><Relationship Type="http://schemas.openxmlformats.org/officeDocument/2006/relationships/worksheet" Target="/xl/worksheets/sheet4.xml" Id="Ra08ea429f8324984" /><Relationship Type="http://schemas.openxmlformats.org/officeDocument/2006/relationships/worksheet" Target="/xl/worksheets/sheet5.xml" Id="R646f24abc45b4aec" /><Relationship Type="http://schemas.openxmlformats.org/officeDocument/2006/relationships/worksheet" Target="/xl/worksheets/sheet6.xml" Id="Rb8dbfde4cfbf4d97" /><Relationship Type="http://schemas.openxmlformats.org/officeDocument/2006/relationships/worksheet" Target="/xl/worksheets/sheet7.xml" Id="Rff3f7a8e82cd4557" /><Relationship Type="http://schemas.openxmlformats.org/officeDocument/2006/relationships/worksheet" Target="/xl/worksheets/sheet8.xml" Id="R6e8aecdc16144601" /><Relationship Type="http://schemas.openxmlformats.org/officeDocument/2006/relationships/worksheet" Target="/xl/worksheets/sheet9.xml" Id="Re13bfad7c3f643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30" hidden="0" customWidth="1"/>
    <x:col min="2" max="2" width="26" hidden="0" customWidth="1"/>
  </x:cols>
  <x:sheetData>
    <x:row r="1" ht="20" customHeight="1">
      <x:c r="A1" s="10" t="str">
        <x:v>field</x:v>
      </x:c>
      <x:c r="B1" s="10" t="str">
        <x:v>value</x:v>
      </x:c>
    </x:row>
    <x:row r="2" ht="20" customHeight="1">
      <x:c r="A2" s="11" t="str">
        <x:v>Therapy area</x:v>
      </x:c>
      <x:c r="B2" s="11" t="str">
        <x:v>Cardiometabolic</x:v>
      </x:c>
    </x:row>
    <x:row r="3" ht="20" customHeight="1">
      <x:c r="A3" s="11" t="str">
        <x:v>Disease</x:v>
      </x:c>
      <x:c r="B3" s="11" t="str">
        <x:v>Type 2 diabetes</x:v>
      </x:c>
    </x:row>
    <x:row r="4" ht="20" customHeight="1">
      <x:c r="A4" s="11" t="str">
        <x:v>Subgroup</x:v>
      </x:c>
      <x:c r="B4" s="11" t="str">
        <x:v>Second-line T2D uncontrolled with metformin; current sitagliptin users</x:v>
      </x:c>
    </x:row>
    <x:row r="5" ht="20" customHeight="1">
      <x:c r="A5" s="11" t="str">
        <x:v>Perspective</x:v>
      </x:c>
      <x:c r="B5" s="11" t="str">
        <x:v>Private insurer</x:v>
      </x:c>
    </x:row>
    <x:row r="6" ht="20" customHeight="1">
      <x:c r="A6" s="11" t="str">
        <x:v>Country</x:v>
      </x:c>
      <x:c r="B6" s="11" t="str">
        <x:v>United States</x:v>
      </x:c>
    </x:row>
    <x:row r="7" ht="20" customHeight="1">
      <x:c r="A7" s="11" t="str">
        <x:v>Currency</x:v>
      </x:c>
      <x:c r="B7" s="11" t="str">
        <x:v>USD</x:v>
      </x:c>
    </x:row>
    <x:row r="8" ht="20" customHeight="1">
      <x:c r="A8" s="11" t="str">
        <x:v>Base year</x:v>
      </x:c>
      <x:c r="B8" s="11" t="n">
        <x:v>2019</x:v>
      </x:c>
    </x:row>
    <x:row r="9" ht="20" customHeight="1">
      <x:c r="A9" s="11" t="str">
        <x:v>Time horizon (years)</x:v>
      </x:c>
      <x:c r="B9" s="11" t="n">
        <x:v>5</x:v>
      </x:c>
    </x:row>
    <x:row r="10" ht="20" customHeight="1">
      <x:c r="A10" s="11"/>
      <x:c r="B10" s="11"/>
    </x:row>
    <x:row r="11" ht="20" customHeight="1">
      <x:c r="A11" s="11"/>
      <x:c r="B11" s="11"/>
    </x:row>
    <x:row r="12" ht="20" customHeight="1">
      <x:c r="A12" s="11"/>
      <x:c r="B12" s="11"/>
    </x:row>
    <x:row r="13" ht="20" customHeight="1">
      <x:c r="A13" s="11"/>
      <x:c r="B13" s="11"/>
    </x:row>
    <x:row r="14" ht="20" customHeight="1">
      <x:c r="A14" s="11"/>
      <x:c r="B14" s="11"/>
    </x:row>
    <x:row r="15" ht="20" customHeight="1">
      <x:c r="A15" s="11"/>
      <x:c r="B15" s="11"/>
    </x:row>
    <x:row r="16" ht="20" customHeight="1">
      <x:c r="A16" s="11"/>
      <x:c r="B16" s="11"/>
    </x:row>
    <x:row r="17" ht="20" customHeight="1">
      <x:c r="A17" s="11"/>
      <x:c r="B17" s="11"/>
    </x:row>
    <x:row r="18" ht="20" customHeight="1">
      <x:c r="A18" s="11"/>
      <x:c r="B18" s="11"/>
    </x:row>
    <x:row r="19" ht="20" customHeight="1">
      <x:c r="A19" s="11"/>
      <x:c r="B19" s="11"/>
    </x:row>
    <x:row r="20" ht="20" customHeight="1">
      <x:c r="A20" s="11"/>
      <x:c r="B20" s="11"/>
    </x:row>
    <x:row r="21" ht="20" customHeight="1">
      <x:c r="A21" s="11"/>
      <x:c r="B21" s="11"/>
    </x:row>
    <x:row r="22" ht="20" customHeight="1">
      <x:c r="A22" s="11"/>
      <x:c r="B22" s="11"/>
    </x:row>
    <x:row r="23" ht="20" customHeight="1">
      <x:c r="A23" s="11"/>
      <x:c r="B23" s="11"/>
    </x:row>
    <x:row r="24" ht="20" customHeight="1">
      <x:c r="A24" s="11"/>
      <x:c r="B24" s="11"/>
    </x:row>
    <x:row r="25" ht="20" customHeight="1">
      <x:c r="A25" s="11"/>
      <x:c r="B25" s="11"/>
    </x:row>
    <x:row r="26" ht="20" customHeight="1">
      <x:c r="A26" s="11"/>
      <x:c r="B26" s="11"/>
    </x:row>
    <x:row r="27" ht="20" customHeight="1">
      <x:c r="A27" s="11"/>
      <x:c r="B27" s="11"/>
    </x:row>
    <x:row r="28" ht="20" customHeight="1">
      <x:c r="A28" s="11"/>
      <x:c r="B28" s="11"/>
    </x:row>
    <x:row r="29" ht="20" customHeight="1">
      <x:c r="A29" s="11"/>
      <x:c r="B29" s="11"/>
    </x:row>
    <x:row r="30" ht="20" customHeight="1">
      <x:c r="A30" s="11"/>
      <x:c r="B3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0" hidden="0" customWidth="1"/>
    <x:col min="2" max="2" width="26" hidden="0" customWidth="1"/>
  </x:cols>
  <x:sheetData>
    <x:row r="1" ht="20" customHeight="1">
      <x:c r="A1" s="10" t="str">
        <x:v>field</x:v>
      </x:c>
      <x:c r="B1" s="10" t="str">
        <x:v>value</x:v>
      </x:c>
    </x:row>
    <x:row r="2" ht="20" customHeight="1">
      <x:c r="A2" s="11" t="str">
        <x:v>Covered population</x:v>
      </x:c>
      <x:c r="B2" s="11" t="n">
        <x:v>1000000</x:v>
      </x:c>
    </x:row>
    <x:row r="3" ht="20" customHeight="1">
      <x:c r="A3" s="11" t="str">
        <x:v>Age minimum</x:v>
      </x:c>
      <x:c r="B3" s="11" t="n">
        <x:v>18</x:v>
      </x:c>
    </x:row>
    <x:row r="4" ht="20" customHeight="1">
      <x:c r="A4" s="11" t="str">
        <x:v>Age maximum</x:v>
      </x:c>
      <x:c r="B4" s="11" t="n">
        <x:v>100</x:v>
      </x:c>
    </x:row>
    <x:row r="5" ht="20" customHeight="1">
      <x:c r="A5" s="11" t="str">
        <x:v>Annual population growth</x:v>
      </x:c>
      <x:c r="B5" s="11" t="n">
        <x:v>0</x:v>
      </x:c>
    </x:row>
    <x:row r="6" ht="20" customHeight="1">
      <x:c r="A6" s="11" t="str">
        <x:v>Obesity prevalence</x:v>
      </x:c>
      <x:c r="B6" s="11" t="n">
        <x:v>0.001993</x:v>
      </x:c>
    </x:row>
    <x:row r="7" ht="20" customHeight="1">
      <x:c r="A7" s="11" t="str">
        <x:v>Annual prevalence growth</x:v>
      </x:c>
      <x:c r="B7" s="11" t="n">
        <x:v>0</x:v>
      </x:c>
    </x:row>
    <x:row r="8" ht="20" customHeight="1">
      <x:c r="A8" s="11" t="str">
        <x:v>Diagnosed share</x:v>
      </x:c>
      <x:c r="B8" s="11" t="n">
        <x:v>1</x:v>
      </x:c>
    </x:row>
    <x:row r="9" ht="20" customHeight="1">
      <x:c r="A9" s="11" t="str">
        <x:v>BMI threshold</x:v>
      </x:c>
      <x:c r="B9" s="11" t="n">
        <x:v>8</x:v>
      </x:c>
    </x:row>
    <x:row r="10" ht="20" customHeight="1">
      <x:c r="A10" s="11" t="str">
        <x:v>Clinical eligibility</x:v>
      </x:c>
      <x:c r="B10" s="11" t="n">
        <x:v>1</x:v>
      </x:c>
    </x:row>
    <x:row r="11" ht="20" customHeight="1">
      <x:c r="A11" s="11" t="str">
        <x:v>Payer eligibility</x:v>
      </x:c>
      <x:c r="B11" s="11" t="n">
        <x:v>1</x:v>
      </x:c>
    </x:row>
    <x:row r="12" ht="20" customHeight="1">
      <x:c r="A12" s="11" t="str">
        <x:v>Access rate</x:v>
      </x:c>
      <x:c r="B12" s="11" t="n">
        <x:v>1</x:v>
      </x:c>
    </x:row>
    <x:row r="13" ht="20" customHeight="1">
      <x:c r="A13" s="11" t="str">
        <x:v>Willingness to treat</x:v>
      </x:c>
      <x:c r="B13" s="11" t="n">
        <x:v>1</x:v>
      </x:c>
    </x:row>
    <x:row r="14" ht="20" customHeight="1">
      <x:c r="A14" s="11" t="str">
        <x:v>Annual incidence</x:v>
      </x:c>
      <x:c r="B14" s="11" t="n">
        <x:v>0</x:v>
      </x:c>
    </x:row>
    <x:row r="15" ht="20" customHeight="1">
      <x:c r="A15" s="11"/>
      <x:c r="B15" s="11"/>
    </x:row>
    <x:row r="16" ht="20" customHeight="1">
      <x:c r="A16" s="11"/>
      <x:c r="B16" s="11"/>
    </x:row>
    <x:row r="17" ht="20" customHeight="1">
      <x:c r="A17" s="11"/>
      <x:c r="B17" s="11"/>
    </x:row>
    <x:row r="18" ht="20" customHeight="1">
      <x:c r="A18" s="11"/>
      <x:c r="B18" s="11"/>
    </x:row>
    <x:row r="19" ht="20" customHeight="1">
      <x:c r="A19" s="11"/>
      <x:c r="B19" s="11"/>
    </x:row>
    <x:row r="20" ht="20" customHeight="1">
      <x:c r="A20" s="11"/>
      <x:c r="B20" s="11"/>
    </x:row>
    <x:row r="21" ht="20" customHeight="1">
      <x:c r="A21" s="11"/>
      <x:c r="B21" s="11"/>
    </x:row>
    <x:row r="22" ht="20" customHeight="1">
      <x:c r="A22" s="11"/>
      <x:c r="B22" s="11"/>
    </x:row>
    <x:row r="23" ht="20" customHeight="1">
      <x:c r="A23" s="11"/>
      <x:c r="B23" s="11"/>
    </x:row>
    <x:row r="24" ht="20" customHeight="1">
      <x:c r="A24" s="11"/>
      <x:c r="B24" s="11"/>
    </x:row>
    <x:row r="25" ht="20" customHeight="1">
      <x:c r="A25" s="11"/>
      <x:c r="B25" s="11"/>
    </x:row>
    <x:row r="26" ht="20" customHeight="1">
      <x:c r="A26" s="11"/>
      <x:c r="B26" s="11"/>
    </x:row>
    <x:row r="27" ht="20" customHeight="1">
      <x:c r="A27" s="11"/>
      <x:c r="B27" s="11"/>
    </x:row>
    <x:row r="28" ht="20" customHeight="1">
      <x:c r="A28" s="11"/>
      <x:c r="B28" s="11"/>
    </x:row>
    <x:row r="29" ht="20" customHeight="1">
      <x:c r="A29" s="11"/>
      <x:c r="B29" s="11"/>
    </x:row>
    <x:row r="30" ht="20" customHeight="1">
      <x:c r="A30" s="11"/>
      <x:c r="B3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30" hidden="0" customWidth="1"/>
    <x:col min="2" max="2" width="26" hidden="0" customWidth="1"/>
  </x:cols>
  <x:sheetData>
    <x:row r="1" ht="20" customHeight="1">
      <x:c r="A1" s="10" t="str">
        <x:v>field</x:v>
      </x:c>
      <x:c r="B1" s="10" t="str">
        <x:v>value</x:v>
      </x:c>
    </x:row>
    <x:row r="2" ht="20" customHeight="1">
      <x:c r="A2" s="11" t="str">
        <x:v>Expected weight loss</x:v>
      </x:c>
      <x:c r="B2" s="11" t="n">
        <x:v>0</x:v>
      </x:c>
    </x:row>
    <x:row r="3" ht="20" customHeight="1">
      <x:c r="A3" s="11" t="str">
        <x:v>Responder rate</x:v>
      </x:c>
      <x:c r="B3" s="11" t="n">
        <x:v>1</x:v>
      </x:c>
    </x:row>
    <x:row r="4" ht="20" customHeight="1">
      <x:c r="A4" s="11" t="str">
        <x:v>Annual weight regain</x:v>
      </x:c>
      <x:c r="B4" s="11" t="n">
        <x:v>0</x:v>
      </x:c>
    </x:row>
    <x:row r="5" ht="20" customHeight="1">
      <x:c r="A5" s="11"/>
      <x:c r="B5" s="11"/>
    </x:row>
    <x:row r="6" ht="20" customHeight="1">
      <x:c r="A6" s="11"/>
      <x:c r="B6" s="11"/>
    </x:row>
    <x:row r="7" ht="20" customHeight="1">
      <x:c r="A7" s="11"/>
      <x:c r="B7" s="11"/>
    </x:row>
    <x:row r="8" ht="20" customHeight="1">
      <x:c r="A8" s="11"/>
      <x:c r="B8" s="11"/>
    </x:row>
    <x:row r="9" ht="20" customHeight="1">
      <x:c r="A9" s="11"/>
      <x:c r="B9" s="11"/>
    </x:row>
    <x:row r="10" ht="20" customHeight="1">
      <x:c r="A10" s="11"/>
      <x:c r="B10" s="11"/>
    </x:row>
    <x:row r="11" ht="20" customHeight="1">
      <x:c r="A11" s="11"/>
      <x:c r="B11" s="11"/>
    </x:row>
    <x:row r="12" ht="20" customHeight="1">
      <x:c r="A12" s="11"/>
      <x:c r="B12" s="11"/>
    </x:row>
    <x:row r="13" ht="20" customHeight="1">
      <x:c r="A13" s="11"/>
      <x:c r="B13" s="11"/>
    </x:row>
    <x:row r="14" ht="20" customHeight="1">
      <x:c r="A14" s="11"/>
      <x:c r="B14" s="11"/>
    </x:row>
    <x:row r="15" ht="20" customHeight="1">
      <x:c r="A15" s="11"/>
      <x:c r="B15" s="11"/>
    </x:row>
    <x:row r="16" ht="20" customHeight="1">
      <x:c r="A16" s="11"/>
      <x:c r="B16" s="11"/>
    </x:row>
    <x:row r="17" ht="20" customHeight="1">
      <x:c r="A17" s="11"/>
      <x:c r="B17" s="11"/>
    </x:row>
    <x:row r="18" ht="20" customHeight="1">
      <x:c r="A18" s="11"/>
      <x:c r="B18" s="11"/>
    </x:row>
    <x:row r="19" ht="20" customHeight="1">
      <x:c r="A19" s="11"/>
      <x:c r="B19" s="11"/>
    </x:row>
    <x:row r="20" ht="20" customHeight="1">
      <x:c r="A20" s="11"/>
      <x:c r="B20" s="11"/>
    </x:row>
    <x:row r="21" ht="20" customHeight="1">
      <x:c r="A21" s="11"/>
      <x:c r="B21" s="11"/>
    </x:row>
    <x:row r="22" ht="20" customHeight="1">
      <x:c r="A22" s="11"/>
      <x:c r="B22" s="11"/>
    </x:row>
    <x:row r="23" ht="20" customHeight="1">
      <x:c r="A23" s="11"/>
      <x:c r="B23" s="11"/>
    </x:row>
    <x:row r="24" ht="20" customHeight="1">
      <x:c r="A24" s="11"/>
      <x:c r="B24" s="11"/>
    </x:row>
    <x:row r="25" ht="20" customHeight="1">
      <x:c r="A25" s="11"/>
      <x:c r="B25" s="11"/>
    </x:row>
    <x:row r="26" ht="20" customHeight="1">
      <x:c r="A26" s="11"/>
      <x:c r="B26" s="11"/>
    </x:row>
    <x:row r="27" ht="20" customHeight="1">
      <x:c r="A27" s="11"/>
      <x:c r="B27" s="11"/>
    </x:row>
    <x:row r="28" ht="20" customHeight="1">
      <x:c r="A28" s="11"/>
      <x:c r="B28" s="11"/>
    </x:row>
    <x:row r="29" ht="20" customHeight="1">
      <x:c r="A29" s="11"/>
      <x:c r="B29" s="11"/>
    </x:row>
    <x:row r="30" ht="20" customHeight="1">
      <x:c r="A30" s="11"/>
      <x:c r="B3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10" t="str">
        <x:v>Treatment</x:v>
      </x:c>
      <x:c r="B1" s="10" t="str">
        <x:v>Market share</x:v>
      </x:c>
      <x:c r="C1" s="10" t="str">
        <x:v>Annual drug cost</x:v>
      </x:c>
      <x:c r="D1" s="10" t="str">
        <x:v>Annual admin cost</x:v>
      </x:c>
      <x:c r="E1" s="10" t="str">
        <x:v>Annual monitoring cost</x:v>
      </x:c>
      <x:c r="F1" s="10" t="str">
        <x:v>Adherence</x:v>
      </x:c>
      <x:c r="G1" s="10" t="str">
        <x:v>Persistence</x:v>
      </x:c>
      <x:c r="H1" s="10" t="str">
        <x:v>Discontinuation</x:v>
      </x:c>
      <x:c r="I1" s="10" t="str">
        <x:v>Annual device cost</x:v>
      </x:c>
    </x:row>
    <x:row r="2" ht="20" customHeight="1">
      <x:c r="A2" s="11" t="str">
        <x:v>Sitagliptin 100 mg pathway — annualized total direct care cost</x:v>
      </x:c>
      <x:c r="B2" s="11" t="n">
        <x:v>1</x:v>
      </x:c>
      <x:c r="C2" s="11" t="n">
        <x:v>4687.2</x:v>
      </x:c>
      <x:c r="D2" s="11" t="n">
        <x:v>0</x:v>
      </x:c>
      <x:c r="E2" s="11" t="n">
        <x:v>0</x:v>
      </x:c>
      <x:c r="F2" s="11" t="n">
        <x:v>1</x:v>
      </x:c>
      <x:c r="G2" s="11" t="n">
        <x:v>1</x:v>
      </x:c>
      <x:c r="H2" s="11" t="n">
        <x:v>0</x:v>
      </x:c>
      <x:c r="I2" s="11" t="n">
        <x:v>0</x:v>
      </x:c>
    </x:row>
    <x:row r="3" ht="20" customHeight="1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2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20" customHeight="1">
      <x:c r="A5" s="11"/>
      <x:c r="B5" s="11"/>
      <x:c r="C5" s="11"/>
      <x:c r="D5" s="11"/>
      <x:c r="E5" s="11"/>
      <x:c r="F5" s="11"/>
      <x:c r="G5" s="11"/>
      <x:c r="H5" s="11"/>
      <x:c r="I5" s="11"/>
    </x:row>
    <x:row r="6" ht="20" customHeight="1">
      <x:c r="A6" s="11"/>
      <x:c r="B6" s="11"/>
      <x:c r="C6" s="11"/>
      <x:c r="D6" s="11"/>
      <x:c r="E6" s="11"/>
      <x:c r="F6" s="11"/>
      <x:c r="G6" s="11"/>
      <x:c r="H6" s="11"/>
      <x:c r="I6" s="11"/>
    </x:row>
    <x:row r="7" ht="20" customHeight="1">
      <x:c r="A7" s="11"/>
      <x:c r="B7" s="11"/>
      <x:c r="C7" s="11"/>
      <x:c r="D7" s="11"/>
      <x:c r="E7" s="11"/>
      <x:c r="F7" s="11"/>
      <x:c r="G7" s="11"/>
      <x:c r="H7" s="11"/>
      <x:c r="I7" s="11"/>
    </x:row>
    <x:row r="8" ht="20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20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20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20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20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20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20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20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20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20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20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20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20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20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20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20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20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20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20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20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20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20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20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10" t="str">
        <x:v>Treatment</x:v>
      </x:c>
      <x:c r="B1" s="10" t="str">
        <x:v>Market share</x:v>
      </x:c>
      <x:c r="C1" s="10" t="str">
        <x:v>Annual drug cost</x:v>
      </x:c>
      <x:c r="D1" s="10" t="str">
        <x:v>Annual admin cost</x:v>
      </x:c>
      <x:c r="E1" s="10" t="str">
        <x:v>Annual monitoring cost</x:v>
      </x:c>
      <x:c r="F1" s="10" t="str">
        <x:v>Adherence</x:v>
      </x:c>
      <x:c r="G1" s="10" t="str">
        <x:v>Persistence</x:v>
      </x:c>
      <x:c r="H1" s="10" t="str">
        <x:v>Discontinuation</x:v>
      </x:c>
      <x:c r="I1" s="10" t="str">
        <x:v>Annual device cost</x:v>
      </x:c>
    </x:row>
    <x:row r="2" ht="20" customHeight="1">
      <x:c r="A2" s="11" t="str">
        <x:v>Oral semaglutide 14 mg pathway — annualized total direct care cost</x:v>
      </x:c>
      <x:c r="B2" s="11" t="n">
        <x:v>0</x:v>
      </x:c>
      <x:c r="C2" s="11" t="n">
        <x:v>7999.4</x:v>
      </x:c>
      <x:c r="D2" s="11" t="n">
        <x:v>0</x:v>
      </x:c>
      <x:c r="E2" s="11" t="n">
        <x:v>0</x:v>
      </x:c>
      <x:c r="F2" s="11" t="n">
        <x:v>1</x:v>
      </x:c>
      <x:c r="G2" s="11" t="n">
        <x:v>1</x:v>
      </x:c>
      <x:c r="H2" s="11" t="n">
        <x:v>0</x:v>
      </x:c>
      <x:c r="I2" s="11" t="n">
        <x:v>0</x:v>
      </x:c>
    </x:row>
    <x:row r="3" ht="20" customHeight="1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2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20" customHeight="1">
      <x:c r="A5" s="11"/>
      <x:c r="B5" s="11"/>
      <x:c r="C5" s="11"/>
      <x:c r="D5" s="11"/>
      <x:c r="E5" s="11"/>
      <x:c r="F5" s="11"/>
      <x:c r="G5" s="11"/>
      <x:c r="H5" s="11"/>
      <x:c r="I5" s="11"/>
    </x:row>
    <x:row r="6" ht="20" customHeight="1">
      <x:c r="A6" s="11"/>
      <x:c r="B6" s="11"/>
      <x:c r="C6" s="11"/>
      <x:c r="D6" s="11"/>
      <x:c r="E6" s="11"/>
      <x:c r="F6" s="11"/>
      <x:c r="G6" s="11"/>
      <x:c r="H6" s="11"/>
      <x:c r="I6" s="11"/>
    </x:row>
    <x:row r="7" ht="20" customHeight="1">
      <x:c r="A7" s="11"/>
      <x:c r="B7" s="11"/>
      <x:c r="C7" s="11"/>
      <x:c r="D7" s="11"/>
      <x:c r="E7" s="11"/>
      <x:c r="F7" s="11"/>
      <x:c r="G7" s="11"/>
      <x:c r="H7" s="11"/>
      <x:c r="I7" s="11"/>
    </x:row>
    <x:row r="8" ht="20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20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20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20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20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20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20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20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20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20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20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20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20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20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20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20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20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20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20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20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20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20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20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18" hidden="0" customWidth="1"/>
    <x:col min="2" max="2" width="18" hidden="0" customWidth="1"/>
  </x:cols>
  <x:sheetData>
    <x:row r="1" ht="20" customHeight="1">
      <x:c r="A1" s="10" t="str">
        <x:v>Year</x:v>
      </x:c>
      <x:c r="B1" s="10" t="str">
        <x:v>Uptake</x:v>
      </x:c>
    </x:row>
    <x:row r="2" ht="20" customHeight="1">
      <x:c r="A2" s="11" t="n">
        <x:v>1</x:v>
      </x:c>
      <x:c r="B2" s="11" t="n">
        <x:v>0.13998996487706974</x:v>
      </x:c>
    </x:row>
    <x:row r="3" ht="20" customHeight="1">
      <x:c r="A3" s="11" t="n">
        <x:v>2</x:v>
      </x:c>
      <x:c r="B3" s="11" t="n">
        <x:v>0.13998996487706974</x:v>
      </x:c>
    </x:row>
    <x:row r="4" ht="20" customHeight="1">
      <x:c r="A4" s="11" t="n">
        <x:v>3</x:v>
      </x:c>
      <x:c r="B4" s="11" t="n">
        <x:v>0.13998996487706974</x:v>
      </x:c>
    </x:row>
    <x:row r="5" ht="20" customHeight="1">
      <x:c r="A5" s="11" t="n">
        <x:v>4</x:v>
      </x:c>
      <x:c r="B5" s="11" t="n">
        <x:v>0.13998996487706974</x:v>
      </x:c>
    </x:row>
    <x:row r="6" ht="20" customHeight="1">
      <x:c r="A6" s="11" t="n">
        <x:v>5</x:v>
      </x:c>
      <x:c r="B6" s="11" t="n">
        <x:v>0.13998996487706974</x:v>
      </x:c>
    </x:row>
    <x:row r="7" ht="20" customHeight="1">
      <x:c r="A7" s="11"/>
      <x:c r="B7" s="11"/>
    </x:row>
    <x:row r="8" ht="20" customHeight="1">
      <x:c r="A8" s="11"/>
      <x:c r="B8" s="11"/>
    </x:row>
    <x:row r="9" ht="20" customHeight="1">
      <x:c r="A9" s="11"/>
      <x:c r="B9" s="11"/>
    </x:row>
    <x:row r="10" ht="20" customHeight="1">
      <x:c r="A10" s="11"/>
      <x:c r="B10" s="11"/>
    </x:row>
    <x:row r="11" ht="20" customHeight="1">
      <x:c r="A11" s="11"/>
      <x:c r="B11" s="11"/>
    </x:row>
    <x:row r="12" ht="20" customHeight="1">
      <x:c r="A12" s="11"/>
      <x:c r="B12" s="11"/>
    </x:row>
    <x:row r="13" ht="20" customHeight="1">
      <x:c r="A13" s="11"/>
      <x:c r="B13" s="11"/>
    </x:row>
    <x:row r="14" ht="20" customHeight="1">
      <x:c r="A14" s="11"/>
      <x:c r="B14" s="11"/>
    </x:row>
    <x:row r="15" ht="20" customHeight="1">
      <x:c r="A15" s="11"/>
      <x:c r="B15" s="11"/>
    </x:row>
    <x:row r="16" ht="20" customHeight="1">
      <x:c r="A16" s="11"/>
      <x:c r="B16" s="11"/>
    </x:row>
    <x:row r="17" ht="20" customHeight="1">
      <x:c r="A17" s="11"/>
      <x:c r="B17" s="11"/>
    </x:row>
    <x:row r="18" ht="20" customHeight="1">
      <x:c r="A18" s="11"/>
      <x:c r="B18" s="11"/>
    </x:row>
    <x:row r="19" ht="20" customHeight="1">
      <x:c r="A19" s="11"/>
      <x:c r="B19" s="11"/>
    </x:row>
    <x:row r="20" ht="20" customHeight="1">
      <x:c r="A20" s="11"/>
      <x:c r="B20" s="11"/>
    </x:row>
    <x:row r="21" ht="20" customHeight="1">
      <x:c r="A21" s="11"/>
      <x:c r="B21" s="11"/>
    </x:row>
    <x:row r="22" ht="20" customHeight="1">
      <x:c r="A22" s="11"/>
      <x:c r="B22" s="11"/>
    </x:row>
    <x:row r="23" ht="20" customHeight="1">
      <x:c r="A23" s="11"/>
      <x:c r="B23" s="11"/>
    </x:row>
    <x:row r="24" ht="20" customHeight="1">
      <x:c r="A24" s="11"/>
      <x:c r="B24" s="11"/>
    </x:row>
    <x:row r="25" ht="20" customHeight="1">
      <x:c r="A25" s="11"/>
      <x:c r="B25" s="11"/>
    </x:row>
    <x:row r="26" ht="20" customHeight="1">
      <x:c r="A26" s="11"/>
      <x:c r="B26" s="11"/>
    </x:row>
    <x:row r="27" ht="20" customHeight="1">
      <x:c r="A27" s="11"/>
      <x:c r="B27" s="11"/>
    </x:row>
    <x:row r="28" ht="20" customHeight="1">
      <x:c r="A28" s="11"/>
      <x:c r="B28" s="11"/>
    </x:row>
    <x:row r="29" ht="20" customHeight="1">
      <x:c r="A29" s="11"/>
      <x:c r="B29" s="11"/>
    </x:row>
    <x:row r="30" ht="20" customHeight="1">
      <x:c r="A30" s="11"/>
      <x:c r="B30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0" customHeight="1">
      <x:c r="A1" s="10" t="str">
        <x:v>Outcome</x:v>
      </x:c>
      <x:c r="B1" s="10" t="str">
        <x:v>Current annual rate</x:v>
      </x:c>
      <x:c r="C1" s="10" t="str">
        <x:v>Relative risk on new drug</x:v>
      </x:c>
      <x:c r="D1" s="10" t="str">
        <x:v>Cost per event</x:v>
      </x:c>
    </x:row>
    <x:row r="2" ht="20" customHeight="1">
      <x:c r="A2" s="11" t="str">
        <x:v>Clinical complications already embedded in annualized pathway costs — do not double count</x:v>
      </x:c>
      <x:c r="B2" s="11" t="n">
        <x:v>0</x:v>
      </x:c>
      <x:c r="C2" s="11" t="n">
        <x:v>1</x:v>
      </x:c>
      <x:c r="D2" s="11" t="n">
        <x:v>0</x:v>
      </x:c>
    </x:row>
    <x:row r="3" ht="20" customHeight="1">
      <x:c r="A3" s="11"/>
      <x:c r="B3" s="11"/>
      <x:c r="C3" s="11"/>
      <x:c r="D3" s="11"/>
    </x:row>
    <x:row r="4" ht="20" customHeight="1">
      <x:c r="A4" s="11"/>
      <x:c r="B4" s="11"/>
      <x:c r="C4" s="11"/>
      <x:c r="D4" s="11"/>
    </x:row>
    <x:row r="5" ht="20" customHeight="1">
      <x:c r="A5" s="11"/>
      <x:c r="B5" s="11"/>
      <x:c r="C5" s="11"/>
      <x:c r="D5" s="11"/>
    </x:row>
    <x:row r="6" ht="20" customHeight="1">
      <x:c r="A6" s="11"/>
      <x:c r="B6" s="11"/>
      <x:c r="C6" s="11"/>
      <x:c r="D6" s="11"/>
    </x:row>
    <x:row r="7" ht="20" customHeight="1">
      <x:c r="A7" s="11"/>
      <x:c r="B7" s="11"/>
      <x:c r="C7" s="11"/>
      <x:c r="D7" s="11"/>
    </x:row>
    <x:row r="8" ht="20" customHeight="1">
      <x:c r="A8" s="11"/>
      <x:c r="B8" s="11"/>
      <x:c r="C8" s="11"/>
      <x:c r="D8" s="11"/>
    </x:row>
    <x:row r="9" ht="20" customHeight="1">
      <x:c r="A9" s="11"/>
      <x:c r="B9" s="11"/>
      <x:c r="C9" s="11"/>
      <x:c r="D9" s="11"/>
    </x:row>
    <x:row r="10" ht="20" customHeight="1">
      <x:c r="A10" s="11"/>
      <x:c r="B10" s="11"/>
      <x:c r="C10" s="11"/>
      <x:c r="D10" s="11"/>
    </x:row>
    <x:row r="11" ht="20" customHeight="1">
      <x:c r="A11" s="11"/>
      <x:c r="B11" s="11"/>
      <x:c r="C11" s="11"/>
      <x:c r="D11" s="11"/>
    </x:row>
    <x:row r="12" ht="20" customHeight="1">
      <x:c r="A12" s="11"/>
      <x:c r="B12" s="11"/>
      <x:c r="C12" s="11"/>
      <x:c r="D12" s="11"/>
    </x:row>
    <x:row r="13" ht="20" customHeight="1">
      <x:c r="A13" s="11"/>
      <x:c r="B13" s="11"/>
      <x:c r="C13" s="11"/>
      <x:c r="D13" s="11"/>
    </x:row>
    <x:row r="14" ht="20" customHeight="1">
      <x:c r="A14" s="11"/>
      <x:c r="B14" s="11"/>
      <x:c r="C14" s="11"/>
      <x:c r="D14" s="11"/>
    </x:row>
    <x:row r="15" ht="20" customHeight="1">
      <x:c r="A15" s="11"/>
      <x:c r="B15" s="11"/>
      <x:c r="C15" s="11"/>
      <x:c r="D15" s="11"/>
    </x:row>
    <x:row r="16" ht="20" customHeight="1">
      <x:c r="A16" s="11"/>
      <x:c r="B16" s="11"/>
      <x:c r="C16" s="11"/>
      <x:c r="D16" s="11"/>
    </x:row>
    <x:row r="17" ht="20" customHeight="1">
      <x:c r="A17" s="11"/>
      <x:c r="B17" s="11"/>
      <x:c r="C17" s="11"/>
      <x:c r="D17" s="11"/>
    </x:row>
    <x:row r="18" ht="20" customHeight="1">
      <x:c r="A18" s="11"/>
      <x:c r="B18" s="11"/>
      <x:c r="C18" s="11"/>
      <x:c r="D18" s="11"/>
    </x:row>
    <x:row r="19" ht="20" customHeight="1">
      <x:c r="A19" s="11"/>
      <x:c r="B19" s="11"/>
      <x:c r="C19" s="11"/>
      <x:c r="D19" s="11"/>
    </x:row>
    <x:row r="20" ht="20" customHeight="1">
      <x:c r="A20" s="11"/>
      <x:c r="B20" s="11"/>
      <x:c r="C20" s="11"/>
      <x:c r="D20" s="11"/>
    </x:row>
    <x:row r="21" ht="20" customHeight="1">
      <x:c r="A21" s="11"/>
      <x:c r="B21" s="11"/>
      <x:c r="C21" s="11"/>
      <x:c r="D21" s="11"/>
    </x:row>
    <x:row r="22" ht="20" customHeight="1">
      <x:c r="A22" s="11"/>
      <x:c r="B22" s="11"/>
      <x:c r="C22" s="11"/>
      <x:c r="D22" s="11"/>
    </x:row>
    <x:row r="23" ht="20" customHeight="1">
      <x:c r="A23" s="11"/>
      <x:c r="B23" s="11"/>
      <x:c r="C23" s="11"/>
      <x:c r="D23" s="11"/>
    </x:row>
    <x:row r="24" ht="20" customHeight="1">
      <x:c r="A24" s="11"/>
      <x:c r="B24" s="11"/>
      <x:c r="C24" s="11"/>
      <x:c r="D24" s="11"/>
    </x:row>
    <x:row r="25" ht="20" customHeight="1">
      <x:c r="A25" s="11"/>
      <x:c r="B25" s="11"/>
      <x:c r="C25" s="11"/>
      <x:c r="D25" s="11"/>
    </x:row>
    <x:row r="26" ht="20" customHeight="1">
      <x:c r="A26" s="11"/>
      <x:c r="B26" s="11"/>
      <x:c r="C26" s="11"/>
      <x:c r="D26" s="11"/>
    </x:row>
    <x:row r="27" ht="20" customHeight="1">
      <x:c r="A27" s="11"/>
      <x:c r="B27" s="11"/>
      <x:c r="C27" s="11"/>
      <x:c r="D27" s="11"/>
    </x:row>
    <x:row r="28" ht="20" customHeight="1">
      <x:c r="A28" s="11"/>
      <x:c r="B28" s="11"/>
      <x:c r="C28" s="11"/>
      <x:c r="D28" s="11"/>
    </x:row>
    <x:row r="29" ht="20" customHeight="1">
      <x:c r="A29" s="11"/>
      <x:c r="B29" s="11"/>
      <x:c r="C29" s="11"/>
      <x:c r="D29" s="11"/>
    </x:row>
    <x:row r="30" ht="20" customHeight="1">
      <x:c r="A30" s="11"/>
      <x:c r="B30" s="11"/>
      <x:c r="C30" s="11"/>
      <x:c r="D30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18" hidden="0" customWidth="1"/>
    <x:col min="5" max="5" width="20" hidden="0" customWidth="1"/>
    <x:col min="6" max="6" width="48" hidden="0" customWidth="1"/>
  </x:cols>
  <x:sheetData>
    <x:row r="1" ht="28" customHeight="1">
      <x:c r="A1" s="17" t="str">
        <x:v>External Benchmark Validation — T2D / Oral Semaglutide vs Sitagliptin (US)</x:v>
      </x:c>
      <x:c r="B1" s="17"/>
      <x:c r="C1" s="17"/>
      <x:c r="D1" s="17"/>
      <x:c r="E1" s="17"/>
      <x:c r="F1" s="17"/>
    </x:row>
    <x:row r="3">
      <x:c r="A3" s="25" t="str">
        <x:v>Five-year literature benchmark for a hypothetical 1-million-life US plan. To avoid double counting the complex IQVIA CORE Diabetes Model, the published 5-year total direct-care pathway costs per patient are annualized into BIET's treatment-cost field; clinical outcomes remain documented in Evidence rather than added again as event costs.</x:v>
      </x:c>
      <x:c r="B3" s="25"/>
      <x:c r="C3" s="25"/>
      <x:c r="D3" s="25"/>
      <x:c r="E3" s="25"/>
      <x:c r="F3" s="25"/>
    </x:row>
    <x:row r="4">
      <x:c r="A4" s="25"/>
      <x:c r="B4" s="25"/>
      <x:c r="C4" s="25"/>
      <x:c r="D4" s="25"/>
      <x:c r="E4" s="25"/>
      <x:c r="F4" s="25"/>
    </x:row>
    <x:row r="6">
      <x:c r="A6" s="10" t="str">
        <x:v>Metric</x:v>
      </x:c>
      <x:c r="B6" s="10" t="str">
        <x:v>Published benchmark</x:v>
      </x:c>
      <x:c r="C6" s="10" t="str">
        <x:v>BIET expected</x:v>
      </x:c>
      <x:c r="D6" s="10" t="str">
        <x:v>Unit</x:v>
      </x:c>
      <x:c r="E6" s="10" t="str">
        <x:v>Deviation vs published</x:v>
      </x:c>
      <x:c r="F6" s="10" t="str">
        <x:v>Interpretation</x:v>
      </x:c>
    </x:row>
    <x:row r="7">
      <x:c r="A7" s="11" t="str">
        <x:v>Current sitagliptin target population</x:v>
      </x:c>
      <x:c r="B7" s="34" t="n">
        <x:v>1993</x:v>
      </x:c>
      <x:c r="C7" s="34" t="n">
        <x:f>Population!B2*Population!B6*Population!B8*Population!B10*Population!B11*Population!B12*Population!B13</x:f>
        <x:v>1993</x:v>
      </x:c>
      <x:c r="D7" s="11" t="str">
        <x:v>patients</x:v>
      </x:c>
      <x:c r="E7" s="35" t="n">
        <x:f>IFERROR((C7-B7)/B7,"")</x:f>
        <x:v>0</x:v>
      </x:c>
      <x:c r="F7" s="11" t="str">
        <x:v>Paper reports 1,993 current sitagliptin users in a 1M-life plan.</x:v>
      </x:c>
    </x:row>
    <x:row r="8">
      <x:c r="A8" s="11" t="str">
        <x:v>Oral semaglutide patients</x:v>
      </x:c>
      <x:c r="B8" s="34" t="n">
        <x:v>279</x:v>
      </x:c>
      <x:c r="C8" s="34" t="n">
        <x:f>C7*Uptake!B2</x:f>
        <x:v>279</x:v>
      </x:c>
      <x:c r="D8" s="11" t="str">
        <x:v>patients</x:v>
      </x:c>
      <x:c r="E8" s="35" t="n">
        <x:f>IFERROR((C8-B8)/B8,"")</x:f>
        <x:v>0</x:v>
      </x:c>
      <x:c r="F8" s="11" t="str">
        <x:v>14% shift from sitagliptin; workbook uses exact 279/1993 share.</x:v>
      </x:c>
    </x:row>
    <x:row r="9">
      <x:c r="A9" s="11" t="str">
        <x:v>5-year current-care cost</x:v>
      </x:c>
      <x:c r="B9" s="34" t="n">
        <x:v>46698940</x:v>
      </x:c>
      <x:c r="C9" s="34" t="n">
        <x:f>C7*Comparators!C2*Setup!B9</x:f>
        <x:v>46707948</x:v>
      </x:c>
      <x:c r="D9" s="11" t="str">
        <x:v>USD</x:v>
      </x:c>
      <x:c r="E9" s="35" t="n">
        <x:f>IFERROR((C9-B9)/B9,"")</x:f>
        <x:v>0.0001928951706398475</x:v>
      </x:c>
      <x:c r="F9" s="11" t="str">
        <x:v>Annualized from the published 5-y per-patient total ($23,436).</x:v>
      </x:c>
    </x:row>
    <x:row r="10">
      <x:c r="A10" s="11" t="str">
        <x:v>5-year with-intervention cost</x:v>
      </x:c>
      <x:c r="B10" s="34" t="n">
        <x:v>51319140</x:v>
      </x:c>
      <x:c r="C10" s="34" t="n">
        <x:f>C9+C8*(NewIntervention!C2-Comparators!C2)*Setup!B9</x:f>
        <x:v>51328467</x:v>
      </x:c>
      <x:c r="D10" s="11" t="str">
        <x:v>USD</x:v>
      </x:c>
      <x:c r="E10" s="35" t="n">
        <x:f>IFERROR((C10-B10)/B10,"")</x:f>
        <x:v>0.00018174505652277103</x:v>
      </x:c>
      <x:c r="F10" s="11" t="str">
        <x:v>Expected near-approximation to the paper's $51.319M.</x:v>
      </x:c>
    </x:row>
    <x:row r="11">
      <x:c r="A11" s="11" t="str">
        <x:v>5-year incremental budget impact</x:v>
      </x:c>
      <x:c r="B11" s="34" t="n">
        <x:v>4620201</x:v>
      </x:c>
      <x:c r="C11" s="34" t="n">
        <x:f>C10-C9</x:f>
        <x:v>4620519</x:v>
      </x:c>
      <x:c r="D11" s="11" t="str">
        <x:v>USD</x:v>
      </x:c>
      <x:c r="E11" s="35" t="n">
        <x:f>IFERROR((C11-B11)/B11,"")</x:f>
        <x:v>0.00006882817435864803</x:v>
      </x:c>
      <x:c r="F11" s="11" t="str">
        <x:v>Primary external validation target; paper reports +$4.620201M.</x:v>
      </x:c>
    </x:row>
    <x:row r="12">
      <x:c r="A12" s="11" t="str">
        <x:v>Average PMPM</x:v>
      </x:c>
      <x:c r="B12" s="34" t="n">
        <x:v>0.08</x:v>
      </x:c>
      <x:c r="C12" s="34" t="n">
        <x:f>C11/Population!B2/12/Setup!B9</x:f>
        <x:v>0.07700865</x:v>
      </x:c>
      <x:c r="D12" s="11" t="str">
        <x:v>USD/member/month</x:v>
      </x:c>
      <x:c r="E12" s="35" t="n">
        <x:f>IFERROR((C12-B12)/B12,"")</x:f>
        <x:v>-0.03739187500000005</x:v>
      </x:c>
      <x:c r="F12" s="11" t="str">
        <x:v>Expected to round to $0.08 PMPM.</x:v>
      </x:c>
    </x:row>
    <x:row r="14">
      <x:c r="A14" s="41" t="str">
        <x:v>IMPORT NOTE: Select Type 2 diabetes first, then import. Verify Annual incidence = 0% and Annual prevalence growth = 0%. The prevalence field here represents the already-sized target population share (1,993/1,000,000), not general US T2D prevalence.</x:v>
      </x:c>
      <x:c r="B14" s="41"/>
      <x:c r="C14" s="41"/>
      <x:c r="D14" s="41"/>
      <x:c r="E14" s="41"/>
      <x:c r="F14" s="41"/>
    </x:row>
    <x:row r="15">
      <x:c r="A15" s="41"/>
      <x:c r="B15" s="41"/>
      <x:c r="C15" s="41"/>
      <x:c r="D15" s="41"/>
      <x:c r="E15" s="41"/>
      <x:c r="F15" s="41"/>
    </x:row>
    <x:row r="17">
      <x:c r="A17" s="25" t="str">
        <x:v>Primary research source: https://link.springer.com/article/10.1007/s40273-020-00967-7</x:v>
      </x:c>
      <x:c r="B17" s="25"/>
      <x:c r="C17" s="25"/>
      <x:c r="D17" s="25"/>
      <x:c r="E17" s="25"/>
      <x:c r="F17" s="25"/>
    </x:row>
    <x:row r="18">
      <x:c r="A18" s="25"/>
      <x:c r="B18" s="25"/>
      <x:c r="C18" s="25"/>
      <x:c r="D18" s="25"/>
      <x:c r="E18" s="25"/>
      <x:c r="F18" s="25"/>
    </x:row>
  </x:sheetData>
  <x:mergeCells>
    <x:mergeCell ref="A1:F1"/>
    <x:mergeCell ref="A3:F4"/>
    <x:mergeCell ref="A14:F15"/>
    <x:mergeCell ref="A17:F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7" hidden="0" customWidth="1"/>
    <x:col min="3" max="3" width="22" hidden="0" customWidth="1"/>
    <x:col min="4" max="4" width="28" hidden="0" customWidth="1"/>
    <x:col min="5" max="5" width="55" hidden="0" customWidth="1"/>
    <x:col min="6" max="6" width="60" hidden="0" customWidth="1"/>
  </x:cols>
  <x:sheetData>
    <x:row r="1">
      <x:c r="A1" s="17" t="str">
        <x:v>Evidence Register — Type 2 Diabetes</x:v>
      </x:c>
      <x:c r="B1" s="17"/>
      <x:c r="C1" s="17"/>
      <x:c r="D1" s="17"/>
      <x:c r="E1" s="17"/>
      <x:c r="F1" s="17"/>
    </x:row>
    <x:row r="3">
      <x:c r="A3" s="5" t="str">
        <x:v>Evidence type</x:v>
      </x:c>
      <x:c r="B3" s="5" t="str">
        <x:v>Parameter / outcome</x:v>
      </x:c>
      <x:c r="C3" s="5" t="str">
        <x:v>Value</x:v>
      </x:c>
      <x:c r="D3" s="5" t="str">
        <x:v>Status</x:v>
      </x:c>
      <x:c r="E3" s="5" t="str">
        <x:v>Why it matters / mapping</x:v>
      </x:c>
      <x:c r="F3" s="5" t="str">
        <x:v>Source URL</x:v>
      </x:c>
    </x:row>
    <x:row r="4">
      <x:c r="A4" s="11" t="str">
        <x:v>Primary economic study</x:v>
      </x:c>
      <x:c r="B4" s="11" t="str">
        <x:v>Hypothetical health-plan size</x:v>
      </x:c>
      <x:c r="C4" s="11" t="str">
        <x:v>1,000,000 lives</x:v>
      </x:c>
      <x:c r="D4" s="46" t="str">
        <x:v>Direct from paper</x:v>
      </x:c>
      <x:c r="E4" s="11" t="str">
        <x:v>US healthcare payer perspective, 5-year horizon, 2019 USD, undiscounted.</x:v>
      </x:c>
      <x:c r="F4" s="11" t="str">
        <x:v>https://link.springer.com/article/10.1007/s40273-020-00967-7</x:v>
      </x:c>
    </x:row>
    <x:row r="5">
      <x:c r="A5" s="11" t="str">
        <x:v>Primary economic study</x:v>
      </x:c>
      <x:c r="B5" s="11" t="str">
        <x:v>Current sitagliptin population</x:v>
      </x:c>
      <x:c r="C5" s="11" t="str">
        <x:v>1,993 patients</x:v>
      </x:c>
      <x:c r="D5" s="46" t="str">
        <x:v>Direct from paper</x:v>
      </x:c>
      <x:c r="E5" s="11" t="str">
        <x:v>Paper reports 13,162 eligible second-line patients, with 1,993 currently receiving sitagliptin.</x:v>
      </x:c>
      <x:c r="F5" s="11" t="str">
        <x:v>https://link.springer.com/article/10.1007/s40273-020-00967-7</x:v>
      </x:c>
    </x:row>
    <x:row r="6">
      <x:c r="A6" s="11" t="str">
        <x:v>Primary economic study</x:v>
      </x:c>
      <x:c r="B6" s="11" t="str">
        <x:v>Oral semaglutide uptake</x:v>
      </x:c>
      <x:c r="C6" s="11" t="str">
        <x:v>14% = 279 of 1,993</x:v>
      </x:c>
      <x:c r="D6" s="46" t="str">
        <x:v>Direct from paper</x:v>
      </x:c>
      <x:c r="E6" s="11" t="str">
        <x:v>Workbook uses exact 279/1993 so BIET patient count reproduces 279.</x:v>
      </x:c>
      <x:c r="F6" s="11" t="str">
        <x:v>https://link.springer.com/article/10.1007/s40273-020-00967-7</x:v>
      </x:c>
    </x:row>
    <x:row r="7">
      <x:c r="A7" s="11" t="str">
        <x:v>Primary economic outcome</x:v>
      </x:c>
      <x:c r="B7" s="11" t="str">
        <x:v>5-y total direct cost per patient</x:v>
      </x:c>
      <x:c r="C7" s="11" t="str">
        <x:v>Oral semaglutide $39,997; sitagliptin $23,436</x:v>
      </x:c>
      <x:c r="D7" s="46" t="str">
        <x:v>Direct from paper</x:v>
      </x:c>
      <x:c r="E7" s="11" t="str">
        <x:v>Annualized to $7,999.40 vs $4,687.20 per year for BIET compatibility. These are total direct-care pathway costs, not pure drug acquisition.</x:v>
      </x:c>
      <x:c r="F7" s="11" t="str">
        <x:v>https://link.springer.com/article/10.1007/s40273-020-00967-7</x:v>
      </x:c>
    </x:row>
    <x:row r="8">
      <x:c r="A8" s="11" t="str">
        <x:v>Primary economic outcome</x:v>
      </x:c>
      <x:c r="B8" s="11" t="str">
        <x:v>Plan-level 5-y budget</x:v>
      </x:c>
      <x:c r="C8" s="11" t="str">
        <x:v>Current $46,698,940; with oral semaglutide $51,319,140; incremental $4,620,201; PMPM $0.08</x:v>
      </x:c>
      <x:c r="D8" s="46" t="str">
        <x:v>Direct from paper</x:v>
      </x:c>
      <x:c r="E8" s="11" t="str">
        <x:v>Primary validation benchmark.</x:v>
      </x:c>
      <x:c r="F8" s="11" t="str">
        <x:v>https://link.springer.com/article/10.1007/s40273-020-00967-7</x:v>
      </x:c>
    </x:row>
    <x:row r="9">
      <x:c r="A9" s="11" t="str">
        <x:v>Clinical trial evidence</x:v>
      </x:c>
      <x:c r="B9" s="11" t="str">
        <x:v>HbA1c reduction (PIONEER 3)</x:v>
      </x:c>
      <x:c r="C9" s="11" t="str">
        <x:v>-1.3% oral semaglutide 14 mg vs -0.8% sitagliptin at 26 weeks</x:v>
      </x:c>
      <x:c r="D9" s="48" t="str">
        <x:v>Supportive clinical evidence</x:v>
      </x:c>
      <x:c r="E9" s="11" t="str">
        <x:v>Head-to-head clinical efficacy source used in the economic model; documented here but not separately costed in BIET to avoid double counting.</x:v>
      </x:c>
      <x:c r="F9" s="11" t="str">
        <x:v>https://doi.org/10.1001/jama.2019.2942</x:v>
      </x:c>
    </x:row>
    <x:row r="10">
      <x:c r="A10" s="11" t="str">
        <x:v>Real-world supportive evidence</x:v>
      </x:c>
      <x:c r="B10" s="11" t="str">
        <x:v>Saudi tertiary-hospital RWE</x:v>
      </x:c>
      <x:c r="C10" s="11" t="str">
        <x:v>N=186; HbA1c 8.9→7.8; BMI 34.8→32.6 at 12 months</x:v>
      </x:c>
      <x:c r="D10" s="48" t="str">
        <x:v>Supportive real-world evidence</x:v>
      </x:c>
      <x:c r="E10" s="11" t="str">
        <x:v>Independent real-world semaglutide effectiveness evidence; not used to calibrate the US budget result.</x:v>
      </x:c>
      <x:c r="F10" s="11" t="str">
        <x:v>https://www.frontiersin.org/journals/clinical-diabetes-and-healthcare/articles/10.3389/fcdhc.2025.1677695/full</x:v>
      </x:c>
    </x:row>
    <x:row r="11">
      <x:c r="A11" s="11" t="str">
        <x:v>Real-world supportive evidence</x:v>
      </x:c>
      <x:c r="B11" s="11" t="str">
        <x:v>Saudi resource use / costs</x:v>
      </x:c>
      <x:c r="C11" s="11" t="str">
        <x:v>Visits 3.8→2.9; hospitalization days 7.6→4.6; mean additional cost SAR 1,964 PPPY</x:v>
      </x:c>
      <x:c r="D11" s="48" t="str">
        <x:v>Supportive real-world evidence</x:v>
      </x:c>
      <x:c r="E11" s="11" t="str">
        <x:v>Shows real-world utilization offsets alongside increased medication-driven total cost.</x:v>
      </x:c>
      <x:c r="F11" s="11" t="str">
        <x:v>https://www.frontiersin.org/journals/clinical-diabetes-and-healthcare/articles/10.3389/fcdhc.2025.1677695/full</x:v>
      </x:c>
    </x:row>
    <x:row r="12">
      <x:c r="A12" s="11" t="str">
        <x:v>Citation</x:v>
      </x:c>
      <x:c r="B12" s="11" t="str">
        <x:v>PharmacoEconomics DOI</x:v>
      </x:c>
      <x:c r="C12" s="11" t="str">
        <x:v>10.1007/s40273-020-00967-7</x:v>
      </x:c>
      <x:c r="D12" s="46" t="str">
        <x:v>Direct bibliographic evidence</x:v>
      </x:c>
      <x:c r="E12" s="11" t="str">
        <x:v>Wehler E, Lautsch D, Kowal S, et al. PharmacoEconomics 39:317–330 (2021).</x:v>
      </x:c>
      <x:c r="F12" s="11" t="str">
        <x:v>https://doi.org/10.1007/s40273-020-00967-7</x:v>
      </x:c>
    </x:row>
  </x:sheetData>
  <x:mergeCells>
    <x:mergeCell ref="A1:F1"/>
  </x:mergeCells>
  <x:pageMargins left="0.7" right="0.7" top="0.75" bottom="0.75" header="0.3" footer="0.3"/>
</x:worksheet>
</file>