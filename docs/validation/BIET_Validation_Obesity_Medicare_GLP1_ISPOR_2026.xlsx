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2dd893378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a44004191cf48ef"/>
    <x:sheet xmlns:r="http://schemas.openxmlformats.org/officeDocument/2006/relationships" name="Population" sheetId="2" r:id="Rc9748cf9f53a473c"/>
    <x:sheet xmlns:r="http://schemas.openxmlformats.org/officeDocument/2006/relationships" name="Behaviour" sheetId="3" r:id="R59ccbc4c96a647f2"/>
    <x:sheet xmlns:r="http://schemas.openxmlformats.org/officeDocument/2006/relationships" name="Comparators" sheetId="4" r:id="R46597163f9104fe4"/>
    <x:sheet xmlns:r="http://schemas.openxmlformats.org/officeDocument/2006/relationships" name="NewIntervention" sheetId="5" r:id="Rf645cc6d20484cda"/>
    <x:sheet xmlns:r="http://schemas.openxmlformats.org/officeDocument/2006/relationships" name="Uptake" sheetId="6" r:id="Rc3bf1830056f4089"/>
    <x:sheet xmlns:r="http://schemas.openxmlformats.org/officeDocument/2006/relationships" name="Outcomes" sheetId="7" r:id="R713b774c5ee1438e"/>
    <x:sheet xmlns:r="http://schemas.openxmlformats.org/officeDocument/2006/relationships" name="Benchmark" sheetId="8" r:id="R1d99606aac0049a0"/>
    <x:sheet xmlns:r="http://schemas.openxmlformats.org/officeDocument/2006/relationships" name="Evidence" sheetId="9" r:id="Rfd786c4d21e4475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"/>
    <x:numFmt numFmtId="201" formatCode="0.00%"/>
  </x:numFmts>
  <x:fonts count="5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  <x:font>
      <x:sz val="12"/>
      <x:color rgb="FF334155"/>
      <x:name val="Calibri"/>
    </x:font>
    <x:font>
      <x:b/>
      <x:sz val="12"/>
      <x:color rgb="FF92400E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4F46E5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e9bf90b044ed4" /><Relationship Type="http://schemas.openxmlformats.org/officeDocument/2006/relationships/theme" Target="/xl/theme/theme1.xml" Id="Rbcc7c006e0cc4198" /><Relationship Type="http://schemas.openxmlformats.org/officeDocument/2006/relationships/sheetMetadata" Target="/xl/metadata1.xml" Id="Rbeb6c514687d46a6" /><Relationship Type="http://schemas.openxmlformats.org/officeDocument/2006/relationships/sharedStrings" Target="/xl/sharedStrings.xml" Id="R8895a32f05cf49cf" /><Relationship Type="http://schemas.openxmlformats.org/officeDocument/2006/relationships/worksheet" Target="/xl/worksheets/sheet1.xml" Id="Raa44004191cf48ef" /><Relationship Type="http://schemas.openxmlformats.org/officeDocument/2006/relationships/worksheet" Target="/xl/worksheets/sheet2.xml" Id="Rc9748cf9f53a473c" /><Relationship Type="http://schemas.openxmlformats.org/officeDocument/2006/relationships/worksheet" Target="/xl/worksheets/sheet3.xml" Id="R59ccbc4c96a647f2" /><Relationship Type="http://schemas.openxmlformats.org/officeDocument/2006/relationships/worksheet" Target="/xl/worksheets/sheet4.xml" Id="R46597163f9104fe4" /><Relationship Type="http://schemas.openxmlformats.org/officeDocument/2006/relationships/worksheet" Target="/xl/worksheets/sheet5.xml" Id="Rf645cc6d20484cda" /><Relationship Type="http://schemas.openxmlformats.org/officeDocument/2006/relationships/worksheet" Target="/xl/worksheets/sheet6.xml" Id="Rc3bf1830056f4089" /><Relationship Type="http://schemas.openxmlformats.org/officeDocument/2006/relationships/worksheet" Target="/xl/worksheets/sheet7.xml" Id="R713b774c5ee1438e" /><Relationship Type="http://schemas.openxmlformats.org/officeDocument/2006/relationships/worksheet" Target="/xl/worksheets/sheet8.xml" Id="R1d99606aac0049a0" /><Relationship Type="http://schemas.openxmlformats.org/officeDocument/2006/relationships/worksheet" Target="/xl/worksheets/sheet9.xml" Id="Rfd786c4d21e447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Therapy area</x:v>
      </x:c>
      <x:c r="B2" s="11" t="str">
        <x:v>Cardiometabolic</x:v>
      </x:c>
    </x:row>
    <x:row r="3" ht="20" customHeight="1">
      <x:c r="A3" s="11" t="str">
        <x:v>Disease</x:v>
      </x:c>
      <x:c r="B3" s="11" t="str">
        <x:v>Obesity / Medicare GLP-1 coverage</x:v>
      </x:c>
    </x:row>
    <x:row r="4" ht="20" customHeight="1">
      <x:c r="A4" s="11" t="str">
        <x:v>Subgroup</x:v>
      </x:c>
      <x:c r="B4" s="11" t="str">
        <x:v>BMI &gt;=30 without already-covered GLP-1 comorbidity</x:v>
      </x:c>
    </x:row>
    <x:row r="5" ht="20" customHeight="1">
      <x:c r="A5" s="11" t="str">
        <x:v>Perspective</x:v>
      </x:c>
      <x:c r="B5" s="11" t="str">
        <x:v>Government payer</x:v>
      </x:c>
    </x:row>
    <x:row r="6" ht="20" customHeight="1">
      <x:c r="A6" s="11" t="str">
        <x:v>Country</x:v>
      </x:c>
      <x:c r="B6" s="11" t="str">
        <x:v>United States</x:v>
      </x:c>
    </x:row>
    <x:row r="7" ht="20" customHeight="1">
      <x:c r="A7" s="11" t="str">
        <x:v>Currency</x:v>
      </x:c>
      <x:c r="B7" s="11" t="str">
        <x:v>USD</x:v>
      </x:c>
    </x:row>
    <x:row r="8" ht="20" customHeight="1">
      <x:c r="A8" s="11" t="str">
        <x:v>Base year</x:v>
      </x:c>
      <x:c r="B8" s="11" t="n">
        <x:v>2026</x:v>
      </x:c>
    </x:row>
    <x:row r="9" ht="20" customHeight="1">
      <x:c r="A9" s="11" t="str">
        <x:v>Time horizon (years)</x:v>
      </x:c>
      <x:c r="B9" s="11" t="n">
        <x:v>1</x:v>
      </x:c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Covered population</x:v>
      </x:c>
      <x:c r="B2" s="11" t="n">
        <x:v>69000000</x:v>
      </x:c>
    </x:row>
    <x:row r="3" ht="20" customHeight="1">
      <x:c r="A3" s="11" t="str">
        <x:v>Age minimum</x:v>
      </x:c>
      <x:c r="B3" s="11" t="n">
        <x:v>18</x:v>
      </x:c>
    </x:row>
    <x:row r="4" ht="20" customHeight="1">
      <x:c r="A4" s="11" t="str">
        <x:v>Age maximum</x:v>
      </x:c>
      <x:c r="B4" s="11" t="n">
        <x:v>100</x:v>
      </x:c>
    </x:row>
    <x:row r="5" ht="20" customHeight="1">
      <x:c r="A5" s="11" t="str">
        <x:v>Annual population growth</x:v>
      </x:c>
      <x:c r="B5" s="11" t="n">
        <x:v>0</x:v>
      </x:c>
    </x:row>
    <x:row r="6" ht="20" customHeight="1">
      <x:c r="A6" s="11" t="str">
        <x:v>Obesity prevalence</x:v>
      </x:c>
      <x:c r="B6" s="11" t="n">
        <x:v>0.07</x:v>
      </x:c>
    </x:row>
    <x:row r="7" ht="20" customHeight="1">
      <x:c r="A7" s="11" t="str">
        <x:v>Annual prevalence growth</x:v>
      </x:c>
      <x:c r="B7" s="11" t="n">
        <x:v>0</x:v>
      </x:c>
    </x:row>
    <x:row r="8" ht="20" customHeight="1">
      <x:c r="A8" s="11" t="str">
        <x:v>Diagnosed share</x:v>
      </x:c>
      <x:c r="B8" s="11" t="n">
        <x:v>1</x:v>
      </x:c>
    </x:row>
    <x:row r="9" ht="20" customHeight="1">
      <x:c r="A9" s="11" t="str">
        <x:v>BMI threshold</x:v>
      </x:c>
      <x:c r="B9" s="11" t="n">
        <x:v>30</x:v>
      </x:c>
    </x:row>
    <x:row r="10" ht="20" customHeight="1">
      <x:c r="A10" s="11" t="str">
        <x:v>Clinical eligibility</x:v>
      </x:c>
      <x:c r="B10" s="11" t="n">
        <x:v>1</x:v>
      </x:c>
    </x:row>
    <x:row r="11" ht="20" customHeight="1">
      <x:c r="A11" s="11" t="str">
        <x:v>Payer eligibility</x:v>
      </x:c>
      <x:c r="B11" s="11" t="n">
        <x:v>1</x:v>
      </x:c>
    </x:row>
    <x:row r="12" ht="20" customHeight="1">
      <x:c r="A12" s="11" t="str">
        <x:v>Access rate</x:v>
      </x:c>
      <x:c r="B12" s="11" t="n">
        <x:v>1</x:v>
      </x:c>
    </x:row>
    <x:row r="13" ht="20" customHeight="1">
      <x:c r="A13" s="11" t="str">
        <x:v>Willingness to treat</x:v>
      </x:c>
      <x:c r="B13" s="11" t="n">
        <x:v>1</x:v>
      </x:c>
    </x:row>
    <x:row r="14" ht="20" customHeight="1">
      <x:c r="A14" s="11" t="str">
        <x:v>Annual incidence</x:v>
      </x:c>
      <x:c r="B14" s="11" t="n">
        <x:v>0</x:v>
      </x:c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Expected weight loss</x:v>
      </x:c>
      <x:c r="B2" s="11" t="n">
        <x:v>0</x:v>
      </x:c>
    </x:row>
    <x:row r="3" ht="20" customHeight="1">
      <x:c r="A3" s="11" t="str">
        <x:v>Responder rate</x:v>
      </x:c>
      <x:c r="B3" s="11" t="n">
        <x:v>1</x:v>
      </x:c>
    </x:row>
    <x:row r="4" ht="20" customHeight="1">
      <x:c r="A4" s="11" t="str">
        <x:v>Annual weight regain</x:v>
      </x:c>
      <x:c r="B4" s="11" t="n">
        <x:v>0</x:v>
      </x:c>
    </x:row>
    <x:row r="5" ht="20" customHeight="1">
      <x:c r="A5" s="11"/>
      <x:c r="B5" s="11"/>
    </x:row>
    <x:row r="6" ht="20" customHeight="1">
      <x:c r="A6" s="11"/>
      <x:c r="B6" s="11"/>
    </x:row>
    <x:row r="7" ht="20" customHeight="1">
      <x:c r="A7" s="11"/>
      <x:c r="B7" s="11"/>
    </x:row>
    <x:row r="8" ht="20" customHeight="1">
      <x:c r="A8" s="11"/>
      <x:c r="B8" s="11"/>
    </x:row>
    <x:row r="9" ht="20" customHeight="1">
      <x:c r="A9" s="11"/>
      <x:c r="B9" s="11"/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10" t="str">
        <x:v>Treatment</x:v>
      </x:c>
      <x:c r="B1" s="10" t="str">
        <x:v>Market share</x:v>
      </x:c>
      <x:c r="C1" s="10" t="str">
        <x:v>Annual drug cost</x:v>
      </x:c>
      <x:c r="D1" s="10" t="str">
        <x:v>Annual admin cost</x:v>
      </x:c>
      <x:c r="E1" s="10" t="str">
        <x:v>Annual monitoring cost</x:v>
      </x:c>
      <x:c r="F1" s="10" t="str">
        <x:v>Adherence</x:v>
      </x:c>
      <x:c r="G1" s="10" t="str">
        <x:v>Persistence</x:v>
      </x:c>
      <x:c r="H1" s="10" t="str">
        <x:v>Discontinuation</x:v>
      </x:c>
      <x:c r="I1" s="10" t="str">
        <x:v>Annual device cost</x:v>
      </x:c>
    </x:row>
    <x:row r="2" ht="20" customHeight="1">
      <x:c r="A2" s="11" t="str">
        <x:v>No Medicare anti-obesity GLP-1 coverage</x:v>
      </x:c>
      <x:c r="B2" s="11" t="n">
        <x:v>1</x:v>
      </x:c>
      <x:c r="C2" s="11" t="n">
        <x:v>0</x:v>
      </x:c>
      <x:c r="D2" s="11" t="n">
        <x:v>0</x:v>
      </x:c>
      <x:c r="E2" s="11" t="n">
        <x:v>0</x:v>
      </x:c>
      <x:c r="F2" s="11" t="n">
        <x:v>1</x:v>
      </x:c>
      <x:c r="G2" s="11" t="n">
        <x:v>1</x:v>
      </x:c>
      <x:c r="H2" s="11" t="n">
        <x:v>0</x:v>
      </x:c>
      <x:c r="I2" s="11" t="n">
        <x:v>0</x:v>
      </x:c>
    </x:row>
    <x:row r="3" ht="20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0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20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20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20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20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0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0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0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0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0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0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0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0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0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0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0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0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0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0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0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0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0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0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0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0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0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10" t="str">
        <x:v>Treatment</x:v>
      </x:c>
      <x:c r="B1" s="10" t="str">
        <x:v>Market share</x:v>
      </x:c>
      <x:c r="C1" s="10" t="str">
        <x:v>Annual drug cost</x:v>
      </x:c>
      <x:c r="D1" s="10" t="str">
        <x:v>Annual admin cost</x:v>
      </x:c>
      <x:c r="E1" s="10" t="str">
        <x:v>Annual monitoring cost</x:v>
      </x:c>
      <x:c r="F1" s="10" t="str">
        <x:v>Adherence</x:v>
      </x:c>
      <x:c r="G1" s="10" t="str">
        <x:v>Persistence</x:v>
      </x:c>
      <x:c r="H1" s="10" t="str">
        <x:v>Discontinuation</x:v>
      </x:c>
      <x:c r="I1" s="10" t="str">
        <x:v>Annual device cost</x:v>
      </x:c>
    </x:row>
    <x:row r="2" ht="20" customHeight="1">
      <x:c r="A2" s="11" t="str">
        <x:v>Expanded GLP-1RA portfolio (56% Wegovy / 39% Zepbound / 5% Saxenda)</x:v>
      </x:c>
      <x:c r="B2" s="11" t="n">
        <x:v>0</x:v>
      </x:c>
      <x:c r="C2" s="11" t="n">
        <x:v>5171.280000000001</x:v>
      </x:c>
      <x:c r="D2" s="11" t="n">
        <x:v>0</x:v>
      </x:c>
      <x:c r="E2" s="11" t="n">
        <x:v>0</x:v>
      </x:c>
      <x:c r="F2" s="11" t="n">
        <x:v>1</x:v>
      </x:c>
      <x:c r="G2" s="11" t="n">
        <x:v>1</x:v>
      </x:c>
      <x:c r="H2" s="11" t="n">
        <x:v>0</x:v>
      </x:c>
      <x:c r="I2" s="11" t="n">
        <x:v>0</x:v>
      </x:c>
    </x:row>
    <x:row r="3" ht="20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0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20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20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20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20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0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0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0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0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0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0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0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0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0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0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0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0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0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0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0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0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0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0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0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0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0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18" hidden="0" customWidth="1"/>
    <x:col min="2" max="2" width="18" hidden="0" customWidth="1"/>
  </x:cols>
  <x:sheetData>
    <x:row r="1" ht="20" customHeight="1">
      <x:c r="A1" s="10" t="str">
        <x:v>Year</x:v>
      </x:c>
      <x:c r="B1" s="10" t="str">
        <x:v>Uptake</x:v>
      </x:c>
    </x:row>
    <x:row r="2" ht="20" customHeight="1">
      <x:c r="A2" s="11" t="n">
        <x:v>1</x:v>
      </x:c>
      <x:c r="B2" s="11" t="n">
        <x:v>0.1</x:v>
      </x:c>
    </x:row>
    <x:row r="3" ht="20" customHeight="1">
      <x:c r="A3" s="11"/>
      <x:c r="B3" s="11"/>
    </x:row>
    <x:row r="4" ht="20" customHeight="1">
      <x:c r="A4" s="11"/>
      <x:c r="B4" s="11"/>
    </x:row>
    <x:row r="5" ht="20" customHeight="1">
      <x:c r="A5" s="11"/>
      <x:c r="B5" s="11"/>
    </x:row>
    <x:row r="6" ht="20" customHeight="1">
      <x:c r="A6" s="11"/>
      <x:c r="B6" s="11"/>
    </x:row>
    <x:row r="7" ht="20" customHeight="1">
      <x:c r="A7" s="11"/>
      <x:c r="B7" s="11"/>
    </x:row>
    <x:row r="8" ht="20" customHeight="1">
      <x:c r="A8" s="11"/>
      <x:c r="B8" s="11"/>
    </x:row>
    <x:row r="9" ht="20" customHeight="1">
      <x:c r="A9" s="11"/>
      <x:c r="B9" s="11"/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0" customHeight="1">
      <x:c r="A1" s="10" t="str">
        <x:v>Outcome</x:v>
      </x:c>
      <x:c r="B1" s="10" t="str">
        <x:v>Current annual rate</x:v>
      </x:c>
      <x:c r="C1" s="10" t="str">
        <x:v>Relative risk on new drug</x:v>
      </x:c>
      <x:c r="D1" s="10" t="str">
        <x:v>Cost per event</x:v>
      </x:c>
    </x:row>
    <x:row r="2" ht="20" customHeight="1">
      <x:c r="A2" s="11" t="str">
        <x:v>Downstream medical offsets not included in primary pharmacy BIA</x:v>
      </x:c>
      <x:c r="B2" s="11" t="n">
        <x:v>0</x:v>
      </x:c>
      <x:c r="C2" s="11" t="n">
        <x:v>1</x:v>
      </x:c>
      <x:c r="D2" s="11" t="n">
        <x:v>0</x:v>
      </x:c>
    </x:row>
    <x:row r="3" ht="20" customHeight="1">
      <x:c r="A3" s="11"/>
      <x:c r="B3" s="11"/>
      <x:c r="C3" s="11"/>
      <x:c r="D3" s="11"/>
    </x:row>
    <x:row r="4" ht="20" customHeight="1">
      <x:c r="A4" s="11"/>
      <x:c r="B4" s="11"/>
      <x:c r="C4" s="11"/>
      <x:c r="D4" s="11"/>
    </x:row>
    <x:row r="5" ht="20" customHeight="1">
      <x:c r="A5" s="11"/>
      <x:c r="B5" s="11"/>
      <x:c r="C5" s="11"/>
      <x:c r="D5" s="11"/>
    </x:row>
    <x:row r="6" ht="20" customHeight="1">
      <x:c r="A6" s="11"/>
      <x:c r="B6" s="11"/>
      <x:c r="C6" s="11"/>
      <x:c r="D6" s="11"/>
    </x:row>
    <x:row r="7" ht="20" customHeight="1">
      <x:c r="A7" s="11"/>
      <x:c r="B7" s="11"/>
      <x:c r="C7" s="11"/>
      <x:c r="D7" s="11"/>
    </x:row>
    <x:row r="8" ht="20" customHeight="1">
      <x:c r="A8" s="11"/>
      <x:c r="B8" s="11"/>
      <x:c r="C8" s="11"/>
      <x:c r="D8" s="11"/>
    </x:row>
    <x:row r="9" ht="20" customHeight="1">
      <x:c r="A9" s="11"/>
      <x:c r="B9" s="11"/>
      <x:c r="C9" s="11"/>
      <x:c r="D9" s="11"/>
    </x:row>
    <x:row r="10" ht="20" customHeight="1">
      <x:c r="A10" s="11"/>
      <x:c r="B10" s="11"/>
      <x:c r="C10" s="11"/>
      <x:c r="D10" s="11"/>
    </x:row>
    <x:row r="11" ht="20" customHeight="1">
      <x:c r="A11" s="11"/>
      <x:c r="B11" s="11"/>
      <x:c r="C11" s="11"/>
      <x:c r="D11" s="11"/>
    </x:row>
    <x:row r="12" ht="20" customHeight="1">
      <x:c r="A12" s="11"/>
      <x:c r="B12" s="11"/>
      <x:c r="C12" s="11"/>
      <x:c r="D12" s="11"/>
    </x:row>
    <x:row r="13" ht="20" customHeight="1">
      <x:c r="A13" s="11"/>
      <x:c r="B13" s="11"/>
      <x:c r="C13" s="11"/>
      <x:c r="D13" s="11"/>
    </x:row>
    <x:row r="14" ht="20" customHeight="1">
      <x:c r="A14" s="11"/>
      <x:c r="B14" s="11"/>
      <x:c r="C14" s="11"/>
      <x:c r="D14" s="11"/>
    </x:row>
    <x:row r="15" ht="20" customHeight="1">
      <x:c r="A15" s="11"/>
      <x:c r="B15" s="11"/>
      <x:c r="C15" s="11"/>
      <x:c r="D15" s="11"/>
    </x:row>
    <x:row r="16" ht="20" customHeight="1">
      <x:c r="A16" s="11"/>
      <x:c r="B16" s="11"/>
      <x:c r="C16" s="11"/>
      <x:c r="D16" s="11"/>
    </x:row>
    <x:row r="17" ht="20" customHeight="1">
      <x:c r="A17" s="11"/>
      <x:c r="B17" s="11"/>
      <x:c r="C17" s="11"/>
      <x:c r="D17" s="11"/>
    </x:row>
    <x:row r="18" ht="20" customHeight="1">
      <x:c r="A18" s="11"/>
      <x:c r="B18" s="11"/>
      <x:c r="C18" s="11"/>
      <x:c r="D18" s="11"/>
    </x:row>
    <x:row r="19" ht="20" customHeight="1">
      <x:c r="A19" s="11"/>
      <x:c r="B19" s="11"/>
      <x:c r="C19" s="11"/>
      <x:c r="D19" s="11"/>
    </x:row>
    <x:row r="20" ht="20" customHeight="1">
      <x:c r="A20" s="11"/>
      <x:c r="B20" s="11"/>
      <x:c r="C20" s="11"/>
      <x:c r="D20" s="11"/>
    </x:row>
    <x:row r="21" ht="20" customHeight="1">
      <x:c r="A21" s="11"/>
      <x:c r="B21" s="11"/>
      <x:c r="C21" s="11"/>
      <x:c r="D21" s="11"/>
    </x:row>
    <x:row r="22" ht="20" customHeight="1">
      <x:c r="A22" s="11"/>
      <x:c r="B22" s="11"/>
      <x:c r="C22" s="11"/>
      <x:c r="D22" s="11"/>
    </x:row>
    <x:row r="23" ht="20" customHeight="1">
      <x:c r="A23" s="11"/>
      <x:c r="B23" s="11"/>
      <x:c r="C23" s="11"/>
      <x:c r="D23" s="11"/>
    </x:row>
    <x:row r="24" ht="20" customHeight="1">
      <x:c r="A24" s="11"/>
      <x:c r="B24" s="11"/>
      <x:c r="C24" s="11"/>
      <x:c r="D24" s="11"/>
    </x:row>
    <x:row r="25" ht="20" customHeight="1">
      <x:c r="A25" s="11"/>
      <x:c r="B25" s="11"/>
      <x:c r="C25" s="11"/>
      <x:c r="D25" s="11"/>
    </x:row>
    <x:row r="26" ht="20" customHeight="1">
      <x:c r="A26" s="11"/>
      <x:c r="B26" s="11"/>
      <x:c r="C26" s="11"/>
      <x:c r="D26" s="11"/>
    </x:row>
    <x:row r="27" ht="20" customHeight="1">
      <x:c r="A27" s="11"/>
      <x:c r="B27" s="11"/>
      <x:c r="C27" s="11"/>
      <x:c r="D27" s="11"/>
    </x:row>
    <x:row r="28" ht="20" customHeight="1">
      <x:c r="A28" s="11"/>
      <x:c r="B28" s="11"/>
      <x:c r="C28" s="11"/>
      <x:c r="D28" s="11"/>
    </x:row>
    <x:row r="29" ht="20" customHeight="1">
      <x:c r="A29" s="11"/>
      <x:c r="B29" s="11"/>
      <x:c r="C29" s="11"/>
      <x:c r="D29" s="11"/>
    </x:row>
    <x:row r="30" ht="20" customHeight="1">
      <x:c r="A30" s="11"/>
      <x:c r="B30" s="11"/>
      <x:c r="C30" s="11"/>
      <x:c r="D30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18" hidden="0" customWidth="1"/>
    <x:col min="5" max="5" width="20" hidden="0" customWidth="1"/>
    <x:col min="6" max="6" width="48" hidden="0" customWidth="1"/>
  </x:cols>
  <x:sheetData>
    <x:row r="1" ht="28" customHeight="1">
      <x:c r="A1" s="17" t="str">
        <x:v>External Benchmark Validation — Obesity / Medicare GLP-1RA (ISPOR 2026)</x:v>
      </x:c>
      <x:c r="B1" s="17"/>
      <x:c r="C1" s="17"/>
      <x:c r="D1" s="17"/>
      <x:c r="E1" s="17"/>
      <x:c r="F1" s="17"/>
    </x:row>
    <x:row r="3">
      <x:c r="A3" s="25" t="str">
        <x:v>One-year pharmacy budget-impact reconstruction using the published Medicare population, 7% target prevalence, 10% uptake, therapy market shares and current monthly drug prices. Medical offsets are intentionally not modeled because the primary study excluded them.</x:v>
      </x:c>
      <x:c r="B3" s="25"/>
      <x:c r="C3" s="25"/>
      <x:c r="D3" s="25"/>
      <x:c r="E3" s="25"/>
      <x:c r="F3" s="25"/>
    </x:row>
    <x:row r="4">
      <x:c r="A4" s="25"/>
      <x:c r="B4" s="25"/>
      <x:c r="C4" s="25"/>
      <x:c r="D4" s="25"/>
      <x:c r="E4" s="25"/>
      <x:c r="F4" s="25"/>
    </x:row>
    <x:row r="6">
      <x:c r="A6" s="10" t="str">
        <x:v>Metric</x:v>
      </x:c>
      <x:c r="B6" s="10" t="str">
        <x:v>Published benchmark</x:v>
      </x:c>
      <x:c r="C6" s="10" t="str">
        <x:v>BIET expected</x:v>
      </x:c>
      <x:c r="D6" s="10" t="str">
        <x:v>Unit</x:v>
      </x:c>
      <x:c r="E6" s="10" t="str">
        <x:v>Deviation vs published</x:v>
      </x:c>
      <x:c r="F6" s="10" t="str">
        <x:v>Interpretation</x:v>
      </x:c>
    </x:row>
    <x:row r="7">
      <x:c r="A7" s="11" t="str">
        <x:v>Eligible obesity population</x:v>
      </x:c>
      <x:c r="B7" s="34" t="n">
        <x:v>4830000</x:v>
      </x:c>
      <x:c r="C7" s="34" t="n">
        <x:f>Population!B2*Population!B6*Population!B8*Population!B10*Population!B11*Population!B12*Population!B13</x:f>
        <x:v>4830000</x:v>
      </x:c>
      <x:c r="D7" s="11" t="str">
        <x:v>patients</x:v>
      </x:c>
      <x:c r="E7" s="35" t="n">
        <x:f>IFERROR((C7-B7)/B7,"")</x:f>
        <x:v>0</x:v>
      </x:c>
      <x:c r="F7" s="11" t="str">
        <x:v>69.0M Medicare beneficiaries × 7% target prevalence.</x:v>
      </x:c>
    </x:row>
    <x:row r="8">
      <x:c r="A8" s="11" t="str">
        <x:v>Patients receiving GLP-1RA</x:v>
      </x:c>
      <x:c r="B8" s="34" t="n">
        <x:v>483000</x:v>
      </x:c>
      <x:c r="C8" s="34" t="n">
        <x:f>C7*Uptake!B2</x:f>
        <x:v>483000</x:v>
      </x:c>
      <x:c r="D8" s="11" t="str">
        <x:v>patients</x:v>
      </x:c>
      <x:c r="E8" s="35" t="n">
        <x:f>IFERROR((C8-B8)/B8,"")</x:f>
        <x:v>0</x:v>
      </x:c>
      <x:c r="F8" s="11" t="str">
        <x:v>10% anticipated first-year coverage/uptake.</x:v>
      </x:c>
    </x:row>
    <x:row r="9">
      <x:c r="A9" s="11" t="str">
        <x:v>Annual pharmacy budget</x:v>
      </x:c>
      <x:c r="B9" s="34" t="n">
        <x:v>2498114254</x:v>
      </x:c>
      <x:c r="C9" s="34" t="n">
        <x:f>C8*NewIntervention!C2*NewIntervention!F2*NewIntervention!G2</x:f>
        <x:v>2497728240.0000005</x:v>
      </x:c>
      <x:c r="D9" s="11" t="str">
        <x:v>USD</x:v>
      </x:c>
      <x:c r="E9" s="35" t="n">
        <x:f>IFERROR((C9-B9)/B9,"")</x:f>
        <x:v>-0.00015452215581470484</x:v>
      </x:c>
      <x:c r="F9" s="11" t="str">
        <x:v>Primary validation target. Paper excludes downstream medical offsets.</x:v>
      </x:c>
    </x:row>
    <x:row r="10">
      <x:c r="A10" s="11" t="str">
        <x:v>PMPM</x:v>
      </x:c>
      <x:c r="B10" s="34" t="n">
        <x:v>3.02</x:v>
      </x:c>
      <x:c r="C10" s="34" t="n">
        <x:f>C9/Population!B2/12</x:f>
        <x:v>3.0165800000000007</x:v>
      </x:c>
      <x:c r="D10" s="11" t="str">
        <x:v>USD/member/month</x:v>
      </x:c>
      <x:c r="E10" s="35" t="n">
        <x:f>IFERROR((C10-B10)/B10,"")</x:f>
        <x:v>-0.0011324503311256002</x:v>
      </x:c>
      <x:c r="F10" s="11" t="str">
        <x:v>Expected to round to the published $3.02.</x:v>
      </x:c>
    </x:row>
    <x:row r="11">
      <x:c r="A11" s="11" t="str">
        <x:v>PPPM</x:v>
      </x:c>
      <x:c r="B11" s="34" t="n">
        <x:v>431.01</x:v>
      </x:c>
      <x:c r="C11" s="34" t="n">
        <x:f>C9/C8/12</x:f>
        <x:v>430.94000000000005</x:v>
      </x:c>
      <x:c r="D11" s="11" t="str">
        <x:v>USD/patient/month</x:v>
      </x:c>
      <x:c r="E11" s="35" t="n">
        <x:f>IFERROR((C11-B11)/B11,"")</x:f>
        <x:v>-0.00016240922484382343</x:v>
      </x:c>
      <x:c r="F11" s="11" t="str">
        <x:v>Weighted current-price monthly GLP-1RA cost.</x:v>
      </x:c>
    </x:row>
    <x:row r="13">
      <x:c r="A13" s="41" t="str">
        <x:v>IMPORT NOTE: Select the Obesity model first, then import this workbook. After import, verify Annual incidence = 0% and all treatment device/admin/monitoring costs = 0. This workbook assumes the Excel-import patch that recognizes Annual incidence and Annual device cost.</x:v>
      </x:c>
      <x:c r="B13" s="41"/>
      <x:c r="C13" s="41"/>
      <x:c r="D13" s="41"/>
      <x:c r="E13" s="41"/>
      <x:c r="F13" s="41"/>
    </x:row>
    <x:row r="14">
      <x:c r="A14" s="41"/>
      <x:c r="B14" s="41"/>
      <x:c r="C14" s="41"/>
      <x:c r="D14" s="41"/>
      <x:c r="E14" s="41"/>
      <x:c r="F14" s="41"/>
    </x:row>
    <x:row r="16">
      <x:c r="A16" s="25" t="str">
        <x:v>Primary research source: https://www.ispor.org/heor-resources/presentations-database/presentation-cti/ispor-2026/poster-session-2-4/pharmacy-budget-impact-of-expanding-medicare-coverage-for-glp-1-receptor-agonists-in-the-treatment-of-obesity-under-alternative-pricing-scenarios</x:v>
      </x:c>
      <x:c r="B16" s="25"/>
      <x:c r="C16" s="25"/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</x:sheetData>
  <x:mergeCells>
    <x:mergeCell ref="A1:F1"/>
    <x:mergeCell ref="A3:F4"/>
    <x:mergeCell ref="A13:F14"/>
    <x:mergeCell ref="A16:F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7" hidden="0" customWidth="1"/>
    <x:col min="3" max="3" width="22" hidden="0" customWidth="1"/>
    <x:col min="4" max="4" width="28" hidden="0" customWidth="1"/>
    <x:col min="5" max="5" width="55" hidden="0" customWidth="1"/>
    <x:col min="6" max="6" width="60" hidden="0" customWidth="1"/>
  </x:cols>
  <x:sheetData>
    <x:row r="1">
      <x:c r="A1" s="17" t="str">
        <x:v>Evidence Register — Obesity</x:v>
      </x:c>
      <x:c r="B1" s="17"/>
      <x:c r="C1" s="17"/>
      <x:c r="D1" s="17"/>
      <x:c r="E1" s="17"/>
      <x:c r="F1" s="17"/>
    </x:row>
    <x:row r="3">
      <x:c r="A3" s="5" t="str">
        <x:v>Evidence type</x:v>
      </x:c>
      <x:c r="B3" s="5" t="str">
        <x:v>Parameter / outcome</x:v>
      </x:c>
      <x:c r="C3" s="5" t="str">
        <x:v>Value</x:v>
      </x:c>
      <x:c r="D3" s="5" t="str">
        <x:v>Status</x:v>
      </x:c>
      <x:c r="E3" s="5" t="str">
        <x:v>Why it matters / mapping</x:v>
      </x:c>
      <x:c r="F3" s="5" t="str">
        <x:v>Source URL</x:v>
      </x:c>
    </x:row>
    <x:row r="4">
      <x:c r="A4" s="11" t="str">
        <x:v>Primary economic study</x:v>
      </x:c>
      <x:c r="B4" s="11" t="str">
        <x:v>Medicare population</x:v>
      </x:c>
      <x:c r="C4" s="11" t="str">
        <x:v>69,000,000</x:v>
      </x:c>
      <x:c r="D4" s="46" t="str">
        <x:v>Direct from paper/poster</x:v>
      </x:c>
      <x:c r="E4" s="11" t="str">
        <x:v>Target plan size used by the published 1-year pharmacy BIA.</x:v>
      </x:c>
      <x:c r="F4" s="11" t="str">
        <x:v>https://www.ispor.org/docs/default-source/cti-meeting-21463-documents/7db468ed-dfb2-4c87-b429-5fdafaec3665.pdf?sfvrsn=2ac9ff37_0</x:v>
      </x:c>
    </x:row>
    <x:row r="5">
      <x:c r="A5" s="11" t="str">
        <x:v>Primary economic study</x:v>
      </x:c>
      <x:c r="B5" s="11" t="str">
        <x:v>Target obesity prevalence</x:v>
      </x:c>
      <x:c r="C5" s="11" t="str">
        <x:v>7%</x:v>
      </x:c>
      <x:c r="D5" s="46" t="str">
        <x:v>Direct from paper/poster</x:v>
      </x:c>
      <x:c r="E5" s="11" t="str">
        <x:v>BMI ≥30 without comorbid conditions already eligible for Medicare GLP-1RA coverage.</x:v>
      </x:c>
      <x:c r="F5" s="11" t="str">
        <x:v>https://www.ispor.org/docs/default-source/cti-meeting-21463-documents/7db468ed-dfb2-4c87-b429-5fdafaec3665.pdf?sfvrsn=2ac9ff37_0</x:v>
      </x:c>
    </x:row>
    <x:row r="6">
      <x:c r="A6" s="11" t="str">
        <x:v>Primary economic study</x:v>
      </x:c>
      <x:c r="B6" s="11" t="str">
        <x:v>Anticipated GLP-1RA coverage / uptake</x:v>
      </x:c>
      <x:c r="C6" s="11" t="str">
        <x:v>10%</x:v>
      </x:c>
      <x:c r="D6" s="46" t="str">
        <x:v>Direct from paper/poster</x:v>
      </x:c>
      <x:c r="E6" s="11" t="str">
        <x:v>Used directly as BIET Year-1 uptake.</x:v>
      </x:c>
      <x:c r="F6" s="11" t="str">
        <x:v>https://www.ispor.org/docs/default-source/cti-meeting-21463-documents/7db468ed-dfb2-4c87-b429-5fdafaec3665.pdf?sfvrsn=2ac9ff37_0</x:v>
      </x:c>
    </x:row>
    <x:row r="7">
      <x:c r="A7" s="11" t="str">
        <x:v>Primary economic study</x:v>
      </x:c>
      <x:c r="B7" s="11" t="str">
        <x:v>Market shares</x:v>
      </x:c>
      <x:c r="C7" s="11" t="str">
        <x:v>Wegovy 56%; Zepbound 39%; Saxenda 5%</x:v>
      </x:c>
      <x:c r="D7" s="46" t="str">
        <x:v>Direct from paper/poster</x:v>
      </x:c>
      <x:c r="E7" s="11" t="str">
        <x:v>Used to create a weighted portfolio annual cost.</x:v>
      </x:c>
      <x:c r="F7" s="11" t="str">
        <x:v>https://www.ispor.org/docs/default-source/cti-meeting-21463-documents/7db468ed-dfb2-4c87-b429-5fdafaec3665.pdf?sfvrsn=2ac9ff37_0</x:v>
      </x:c>
    </x:row>
    <x:row r="8">
      <x:c r="A8" s="11" t="str">
        <x:v>Primary economic study</x:v>
      </x:c>
      <x:c r="B8" s="11" t="str">
        <x:v>Current monthly drug costs</x:v>
      </x:c>
      <x:c r="C8" s="11" t="str">
        <x:v>Wegovy $362; Zepbound $573; Saxenda $95</x:v>
      </x:c>
      <x:c r="D8" s="46" t="str">
        <x:v>Direct from paper/poster</x:v>
      </x:c>
      <x:c r="E8" s="11" t="str">
        <x:v>Weighted monthly cost = $430.94; annualized BIET cost = $5171.28.</x:v>
      </x:c>
      <x:c r="F8" s="11" t="str">
        <x:v>https://www.ispor.org/docs/default-source/cti-meeting-21463-documents/7db468ed-dfb2-4c87-b429-5fdafaec3665.pdf?sfvrsn=2ac9ff37_0</x:v>
      </x:c>
    </x:row>
    <x:row r="9">
      <x:c r="A9" s="11" t="str">
        <x:v>Primary economic outcome</x:v>
      </x:c>
      <x:c r="B9" s="11" t="str">
        <x:v>Published annual budget</x:v>
      </x:c>
      <x:c r="C9" s="11" t="str">
        <x:v>$2,498,114,254; PMPM $3.02; PPPM $431.01</x:v>
      </x:c>
      <x:c r="D9" s="46" t="str">
        <x:v>Direct from paper/poster</x:v>
      </x:c>
      <x:c r="E9" s="11" t="str">
        <x:v>Primary external benchmark. The publication states that medical cost offsets were not incorporated.</x:v>
      </x:c>
      <x:c r="F9" s="11" t="str">
        <x:v>https://www.ispor.org/docs/default-source/cti-meeting-21463-documents/7db468ed-dfb2-4c87-b429-5fdafaec3665.pdf?sfvrsn=2ac9ff37_0</x:v>
      </x:c>
    </x:row>
    <x:row r="10">
      <x:c r="A10" s="11" t="str">
        <x:v>Real-world supportive evidence</x:v>
      </x:c>
      <x:c r="B10" s="11" t="str">
        <x:v>SHINE-ASCVD medical-cost outcome</x:v>
      </x:c>
      <x:c r="C10" s="11" t="str">
        <x:v>22% lower mean medical costs; -$4,639 PPPY</x:v>
      </x:c>
      <x:c r="D10" s="48" t="str">
        <x:v>Supportive real-world evidence</x:v>
      </x:c>
      <x:c r="E10" s="11" t="str">
        <x:v>Claims-based observational evidence in overweight/obesity + ASCVD; not included in the primary pharmacy-only BIET validation to avoid mixing studies.</x:v>
      </x:c>
      <x:c r="F10" s="11" t="str">
        <x:v>https://pubmed.ncbi.nlm.nih.gov/40579810/</x:v>
      </x:c>
    </x:row>
    <x:row r="11">
      <x:c r="A11" s="11" t="str">
        <x:v>Real-world supportive evidence</x:v>
      </x:c>
      <x:c r="B11" s="11" t="str">
        <x:v>SHINE-ASCVD inpatient outcomes</x:v>
      </x:c>
      <x:c r="C11" s="11" t="str">
        <x:v>65% lower inpatient costs; 48% lower inpatient visit rate</x:v>
      </x:c>
      <x:c r="D11" s="48" t="str">
        <x:v>Supportive real-world evidence</x:v>
      </x:c>
      <x:c r="E11" s="11" t="str">
        <x:v>Supports the plausibility of future downstream medical offsets, but these are not used in this workbook's calculation.</x:v>
      </x:c>
      <x:c r="F11" s="11" t="str">
        <x:v>https://pubmed.ncbi.nlm.nih.gov/40579810/</x:v>
      </x:c>
    </x:row>
    <x:row r="12">
      <x:c r="A12" s="11" t="str">
        <x:v>Citation</x:v>
      </x:c>
      <x:c r="B12" s="11" t="str">
        <x:v>Value in Health DOI</x:v>
      </x:c>
      <x:c r="C12" s="11" t="str">
        <x:v>10.1016/j.jval.2026.03.405</x:v>
      </x:c>
      <x:c r="D12" s="46" t="str">
        <x:v>Direct bibliographic evidence</x:v>
      </x:c>
      <x:c r="E12" s="11" t="str">
        <x:v>EE110, Value in Health 29(6 Suppl 1):S83, 2026.</x:v>
      </x:c>
      <x:c r="F12" s="11" t="str">
        <x:v>https://www.valueinhealthjournal.com/article/S1098-3015%2826%2900543-7/fulltext</x:v>
      </x:c>
    </x:row>
  </x:sheetData>
  <x:mergeCells>
    <x:mergeCell ref="A1:F1"/>
  </x:mergeCells>
  <x:pageMargins left="0.7" right="0.7" top="0.75" bottom="0.75" header="0.3" footer="0.3"/>
</x:worksheet>
</file>